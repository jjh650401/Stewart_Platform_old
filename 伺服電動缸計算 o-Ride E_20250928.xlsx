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Python_Programs\Stewart_Platform\"/>
    </mc:Choice>
  </mc:AlternateContent>
  <xr:revisionPtr revIDLastSave="0" documentId="13_ncr:1_{DA2C7914-91D2-4E18-AA47-BBCBFF551DC6}" xr6:coauthVersionLast="47" xr6:coauthVersionMax="47" xr10:uidLastSave="{00000000-0000-0000-0000-000000000000}"/>
  <bookViews>
    <workbookView xWindow="-28920" yWindow="-1620" windowWidth="29040" windowHeight="15720" xr2:uid="{C6BFDBA7-306C-41D7-82BB-977D128D5E06}"/>
  </bookViews>
  <sheets>
    <sheet name="o-Ride E_730" sheetId="5" r:id="rId1"/>
    <sheet name="扭力_730" sheetId="6" r:id="rId2"/>
    <sheet name="出力_730" sheetId="7" r:id="rId3"/>
    <sheet name="o-Ride E_500" sheetId="2" r:id="rId4"/>
    <sheet name="扭力_500" sheetId="3" r:id="rId5"/>
    <sheet name="出力_500" sheetId="4" r:id="rId6"/>
    <sheet name="計算公式" sheetId="1" r:id="rId7"/>
  </sheets>
  <definedNames>
    <definedName name="_xlnm._FilterDatabase" localSheetId="3" hidden="1">'o-Ride E_500'!$K$2:$S$74</definedName>
    <definedName name="_xlnm._FilterDatabase" localSheetId="0" hidden="1">'o-Ride E_730'!$K$2:$S$74</definedName>
    <definedName name="_xlnm.Print_Area" localSheetId="3">'o-Ride E_500'!$A$1:$I$149</definedName>
    <definedName name="_xlnm.Print_Area" localSheetId="0">'o-Ride E_730'!$A$1:$I$149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1" i="5" l="1"/>
  <c r="D10" i="5"/>
  <c r="D129" i="5"/>
  <c r="B13" i="5"/>
  <c r="B12" i="5"/>
  <c r="B11" i="5"/>
  <c r="B10" i="5"/>
  <c r="B9" i="5"/>
  <c r="B8" i="5"/>
  <c r="G79" i="5"/>
  <c r="B37" i="2"/>
  <c r="B36" i="2"/>
  <c r="B35" i="2"/>
  <c r="B34" i="2"/>
  <c r="B33" i="2"/>
  <c r="B32" i="2"/>
  <c r="B31" i="2"/>
  <c r="B30" i="2"/>
  <c r="B29" i="2"/>
  <c r="B27" i="2"/>
  <c r="B28" i="2"/>
  <c r="B37" i="5"/>
  <c r="B36" i="5"/>
  <c r="B35" i="5"/>
  <c r="B34" i="5"/>
  <c r="B33" i="5"/>
  <c r="B32" i="5"/>
  <c r="B31" i="5"/>
  <c r="B30" i="5"/>
  <c r="B29" i="5"/>
  <c r="B28" i="5"/>
  <c r="B27" i="5"/>
  <c r="AE5" i="2"/>
  <c r="AE4" i="2"/>
  <c r="AE3" i="2"/>
  <c r="AE2" i="2"/>
  <c r="AE5" i="5"/>
  <c r="AE4" i="5"/>
  <c r="AE3" i="5"/>
  <c r="AE2" i="5"/>
  <c r="B3" i="7" l="1"/>
  <c r="B2" i="7"/>
  <c r="B10" i="6"/>
  <c r="B9" i="6"/>
  <c r="B1" i="6"/>
  <c r="B4" i="7"/>
  <c r="B11" i="6"/>
  <c r="B114" i="5"/>
  <c r="B113" i="5"/>
  <c r="B99" i="5"/>
  <c r="B98" i="5"/>
  <c r="G80" i="5"/>
  <c r="F80" i="5" s="1"/>
  <c r="F79" i="5"/>
  <c r="F78" i="5"/>
  <c r="F77" i="5"/>
  <c r="D77" i="5"/>
  <c r="F76" i="5"/>
  <c r="D76" i="5"/>
  <c r="F75" i="5"/>
  <c r="E75" i="5" s="1"/>
  <c r="F74" i="5"/>
  <c r="F73" i="5"/>
  <c r="E73" i="5" s="1"/>
  <c r="B69" i="5"/>
  <c r="D134" i="5" s="1"/>
  <c r="D53" i="5"/>
  <c r="D75" i="5" s="1"/>
  <c r="B49" i="5"/>
  <c r="B48" i="5"/>
  <c r="B47" i="5"/>
  <c r="B46" i="5"/>
  <c r="B51" i="5" s="1"/>
  <c r="B43" i="5"/>
  <c r="B42" i="5"/>
  <c r="B41" i="5"/>
  <c r="B40" i="5"/>
  <c r="B1" i="7"/>
  <c r="F24" i="5"/>
  <c r="B74" i="5" s="1"/>
  <c r="B73" i="5" s="1"/>
  <c r="B75" i="5" s="1"/>
  <c r="D24" i="5"/>
  <c r="H24" i="5" s="1"/>
  <c r="D17" i="5"/>
  <c r="D73" i="5" s="1"/>
  <c r="B14" i="5"/>
  <c r="E102" i="5"/>
  <c r="G2" i="5"/>
  <c r="F2" i="5"/>
  <c r="G79" i="2"/>
  <c r="B13" i="2"/>
  <c r="B12" i="2"/>
  <c r="B11" i="2"/>
  <c r="B10" i="2"/>
  <c r="B9" i="2"/>
  <c r="B8" i="2"/>
  <c r="B77" i="5" l="1"/>
  <c r="B76" i="5" s="1"/>
  <c r="B78" i="5" s="1"/>
  <c r="B56" i="5"/>
  <c r="F56" i="5" s="1"/>
  <c r="B58" i="5"/>
  <c r="B4" i="6"/>
  <c r="D4" i="6" s="1"/>
  <c r="B5" i="6" s="1"/>
  <c r="B55" i="5"/>
  <c r="F55" i="5" s="1"/>
  <c r="B11" i="7"/>
  <c r="G13" i="7" s="1"/>
  <c r="B8" i="7"/>
  <c r="D1" i="6"/>
  <c r="B3" i="6"/>
  <c r="D3" i="6" s="1"/>
  <c r="B83" i="5"/>
  <c r="E79" i="5"/>
  <c r="E74" i="5"/>
  <c r="E76" i="5"/>
  <c r="E78" i="5"/>
  <c r="E77" i="5"/>
  <c r="B102" i="5"/>
  <c r="E89" i="5"/>
  <c r="B62" i="5"/>
  <c r="B15" i="5"/>
  <c r="D78" i="5"/>
  <c r="B54" i="5"/>
  <c r="D74" i="5"/>
  <c r="E58" i="5"/>
  <c r="E83" i="5"/>
  <c r="D79" i="5"/>
  <c r="D130" i="5"/>
  <c r="F17" i="5"/>
  <c r="B22" i="5" s="1"/>
  <c r="D22" i="5" s="1"/>
  <c r="D78" i="2"/>
  <c r="D76" i="2"/>
  <c r="D73" i="2"/>
  <c r="G80" i="2"/>
  <c r="B14" i="2"/>
  <c r="B15" i="2" s="1"/>
  <c r="D119" i="5" l="1"/>
  <c r="F119" i="5" s="1"/>
  <c r="B89" i="5"/>
  <c r="E80" i="5"/>
  <c r="B13" i="7"/>
  <c r="D13" i="7" s="1"/>
  <c r="D55" i="5"/>
  <c r="D56" i="5"/>
  <c r="H56" i="5" s="1"/>
  <c r="D14" i="6"/>
  <c r="D5" i="6"/>
  <c r="B14" i="6" s="1"/>
  <c r="B63" i="5"/>
  <c r="D63" i="5" s="1"/>
  <c r="D62" i="5"/>
  <c r="D53" i="2"/>
  <c r="D79" i="2" s="1"/>
  <c r="B1" i="3"/>
  <c r="D1" i="3" s="1"/>
  <c r="F2" i="2"/>
  <c r="G2" i="2"/>
  <c r="E89" i="2"/>
  <c r="D17" i="2"/>
  <c r="F17" i="2" s="1"/>
  <c r="D24" i="2"/>
  <c r="H24" i="2" s="1"/>
  <c r="F24" i="2"/>
  <c r="B1" i="4"/>
  <c r="B40" i="2"/>
  <c r="B51" i="2" s="1"/>
  <c r="B41" i="2"/>
  <c r="B42" i="2"/>
  <c r="B43" i="2"/>
  <c r="B46" i="2"/>
  <c r="B3" i="4" s="1"/>
  <c r="B47" i="2"/>
  <c r="B48" i="2"/>
  <c r="B49" i="2"/>
  <c r="B69" i="2"/>
  <c r="F73" i="2"/>
  <c r="F74" i="2"/>
  <c r="F75" i="2"/>
  <c r="F76" i="2"/>
  <c r="F77" i="2"/>
  <c r="F78" i="2"/>
  <c r="F79" i="2"/>
  <c r="F80" i="2"/>
  <c r="B98" i="2"/>
  <c r="B99" i="2"/>
  <c r="B113" i="2"/>
  <c r="B114" i="2"/>
  <c r="D130" i="2"/>
  <c r="C77" i="5" l="1"/>
  <c r="C74" i="5"/>
  <c r="B77" i="2"/>
  <c r="B76" i="2" s="1"/>
  <c r="B78" i="2" s="1"/>
  <c r="B58" i="2"/>
  <c r="E58" i="2"/>
  <c r="B62" i="2"/>
  <c r="B63" i="2" s="1"/>
  <c r="E75" i="2"/>
  <c r="E76" i="2"/>
  <c r="B74" i="2"/>
  <c r="B73" i="2" s="1"/>
  <c r="B75" i="2" s="1"/>
  <c r="E78" i="2"/>
  <c r="E79" i="2"/>
  <c r="E74" i="2"/>
  <c r="E73" i="2"/>
  <c r="E102" i="2"/>
  <c r="E77" i="2"/>
  <c r="B102" i="2"/>
  <c r="E83" i="2"/>
  <c r="B22" i="2"/>
  <c r="D22" i="2" s="1"/>
  <c r="B83" i="2"/>
  <c r="B2" i="4"/>
  <c r="D77" i="2"/>
  <c r="B10" i="3"/>
  <c r="B11" i="3" s="1"/>
  <c r="D134" i="2"/>
  <c r="D74" i="2"/>
  <c r="D119" i="2" s="1"/>
  <c r="F119" i="2" s="1"/>
  <c r="B54" i="2"/>
  <c r="B9" i="3"/>
  <c r="B4" i="3"/>
  <c r="D4" i="3" s="1"/>
  <c r="D75" i="2"/>
  <c r="B11" i="4"/>
  <c r="B3" i="3"/>
  <c r="D3" i="3" s="1"/>
  <c r="C75" i="5" l="1"/>
  <c r="C73" i="5"/>
  <c r="C76" i="5"/>
  <c r="C78" i="5"/>
  <c r="B4" i="4"/>
  <c r="B8" i="4" s="1"/>
  <c r="B13" i="4" s="1"/>
  <c r="D13" i="4" s="1"/>
  <c r="E80" i="2"/>
  <c r="B55" i="2"/>
  <c r="D55" i="2" s="1"/>
  <c r="B56" i="2"/>
  <c r="D56" i="2" s="1"/>
  <c r="H56" i="2" s="1"/>
  <c r="B89" i="2"/>
  <c r="B5" i="3"/>
  <c r="D5" i="3"/>
  <c r="D62" i="2"/>
  <c r="D63" i="2"/>
  <c r="D14" i="3"/>
  <c r="F56" i="2" l="1"/>
  <c r="B116" i="5"/>
  <c r="B120" i="5" s="1"/>
  <c r="D120" i="5"/>
  <c r="F120" i="5" s="1"/>
  <c r="F55" i="2"/>
  <c r="G13" i="4"/>
  <c r="B14" i="3"/>
  <c r="C77" i="2"/>
  <c r="C74" i="2"/>
  <c r="B146" i="5" l="1"/>
  <c r="B134" i="5"/>
  <c r="B130" i="5"/>
  <c r="F130" i="5" s="1"/>
  <c r="C75" i="2"/>
  <c r="C73" i="2"/>
  <c r="C78" i="2"/>
  <c r="C76" i="2"/>
  <c r="B116" i="2" l="1"/>
  <c r="B120" i="2" s="1"/>
  <c r="D120" i="2"/>
  <c r="F120" i="2" s="1"/>
  <c r="B130" i="2" l="1"/>
  <c r="B146" i="2"/>
  <c r="B134" i="2"/>
</calcChain>
</file>

<file path=xl/sharedStrings.xml><?xml version="1.0" encoding="utf-8"?>
<sst xmlns="http://schemas.openxmlformats.org/spreadsheetml/2006/main" count="2077" uniqueCount="587">
  <si>
    <t>N</t>
    <phoneticPr fontId="6" type="noConversion"/>
  </si>
  <si>
    <t>Nm</t>
    <phoneticPr fontId="6" type="noConversion"/>
  </si>
  <si>
    <t>rev</t>
    <phoneticPr fontId="6" type="noConversion"/>
  </si>
  <si>
    <t>kW</t>
    <phoneticPr fontId="6" type="noConversion"/>
  </si>
  <si>
    <t>m</t>
    <phoneticPr fontId="6" type="noConversion"/>
  </si>
  <si>
    <r>
      <t>傳動側齒數</t>
    </r>
    <r>
      <rPr>
        <sz val="12"/>
        <rFont val="Century Gothic"/>
        <family val="2"/>
      </rPr>
      <t xml:space="preserve">, </t>
    </r>
    <r>
      <rPr>
        <b/>
        <sz val="12"/>
        <rFont val="Century Gothic"/>
        <family val="2"/>
      </rPr>
      <t>N</t>
    </r>
    <r>
      <rPr>
        <b/>
        <vertAlign val="subscript"/>
        <sz val="12"/>
        <rFont val="Century Gothic"/>
        <family val="2"/>
      </rPr>
      <t>1</t>
    </r>
    <phoneticPr fontId="6" type="noConversion"/>
  </si>
  <si>
    <r>
      <t>從動側齒數</t>
    </r>
    <r>
      <rPr>
        <sz val="12"/>
        <rFont val="Century Gothic"/>
        <family val="2"/>
      </rPr>
      <t xml:space="preserve">, </t>
    </r>
    <r>
      <rPr>
        <b/>
        <sz val="12"/>
        <rFont val="Century Gothic"/>
        <family val="2"/>
      </rPr>
      <t>N</t>
    </r>
    <r>
      <rPr>
        <b/>
        <vertAlign val="subscript"/>
        <sz val="12"/>
        <rFont val="Century Gothic"/>
        <family val="2"/>
      </rPr>
      <t>2</t>
    </r>
    <phoneticPr fontId="6" type="noConversion"/>
  </si>
  <si>
    <r>
      <rPr>
        <sz val="12"/>
        <rFont val="標楷體"/>
        <family val="4"/>
        <charset val="136"/>
      </rPr>
      <t>螺桿傳動機械效率</t>
    </r>
    <r>
      <rPr>
        <sz val="12"/>
        <rFont val="Century Gothic"/>
        <family val="2"/>
      </rPr>
      <t xml:space="preserve">, </t>
    </r>
    <r>
      <rPr>
        <b/>
        <sz val="12"/>
        <rFont val="Century Gothic"/>
        <family val="2"/>
      </rPr>
      <t>η</t>
    </r>
    <phoneticPr fontId="6" type="noConversion"/>
  </si>
  <si>
    <r>
      <rPr>
        <sz val="12"/>
        <rFont val="標楷體"/>
        <family val="4"/>
        <charset val="136"/>
      </rPr>
      <t>皮帶傳動效率</t>
    </r>
    <r>
      <rPr>
        <sz val="12"/>
        <rFont val="Century Gothic"/>
        <family val="2"/>
      </rPr>
      <t xml:space="preserve">, </t>
    </r>
    <r>
      <rPr>
        <b/>
        <sz val="12"/>
        <rFont val="Century Gothic"/>
        <family val="2"/>
      </rPr>
      <t>η</t>
    </r>
    <r>
      <rPr>
        <b/>
        <vertAlign val="subscript"/>
        <sz val="12"/>
        <rFont val="Century Gothic"/>
        <family val="2"/>
      </rPr>
      <t>pulley</t>
    </r>
    <phoneticPr fontId="6" type="noConversion"/>
  </si>
  <si>
    <r>
      <rPr>
        <sz val="12"/>
        <color indexed="8"/>
        <rFont val="標楷體"/>
        <family val="4"/>
        <charset val="136"/>
      </rPr>
      <t>電機功率</t>
    </r>
    <r>
      <rPr>
        <sz val="12"/>
        <color indexed="8"/>
        <rFont val="Century Gothic"/>
        <family val="2"/>
      </rPr>
      <t xml:space="preserve">, </t>
    </r>
    <r>
      <rPr>
        <b/>
        <sz val="12"/>
        <color indexed="8"/>
        <rFont val="Century Gothic"/>
        <family val="2"/>
      </rPr>
      <t>P</t>
    </r>
    <r>
      <rPr>
        <b/>
        <vertAlign val="subscript"/>
        <sz val="12"/>
        <color indexed="8"/>
        <rFont val="Century Gothic"/>
        <family val="2"/>
      </rPr>
      <t>kW</t>
    </r>
    <phoneticPr fontId="6" type="noConversion"/>
  </si>
  <si>
    <r>
      <rPr>
        <sz val="12"/>
        <rFont val="標楷體"/>
        <family val="4"/>
        <charset val="136"/>
      </rPr>
      <t>螺桿側扭力</t>
    </r>
    <r>
      <rPr>
        <sz val="12"/>
        <rFont val="Century Gothic"/>
        <family val="2"/>
      </rPr>
      <t xml:space="preserve">, </t>
    </r>
    <r>
      <rPr>
        <b/>
        <sz val="12"/>
        <rFont val="Century Gothic"/>
        <family val="2"/>
      </rPr>
      <t>T</t>
    </r>
    <r>
      <rPr>
        <b/>
        <vertAlign val="subscript"/>
        <sz val="12"/>
        <rFont val="Century Gothic"/>
        <family val="2"/>
      </rPr>
      <t>axial</t>
    </r>
    <phoneticPr fontId="6" type="noConversion"/>
  </si>
  <si>
    <r>
      <t>螺桿側軸力</t>
    </r>
    <r>
      <rPr>
        <sz val="12"/>
        <rFont val="Century Gothic"/>
        <family val="2"/>
      </rPr>
      <t xml:space="preserve">, </t>
    </r>
    <r>
      <rPr>
        <b/>
        <sz val="12"/>
        <rFont val="Century Gothic"/>
        <family val="2"/>
      </rPr>
      <t>F</t>
    </r>
    <r>
      <rPr>
        <b/>
        <vertAlign val="subscript"/>
        <sz val="12"/>
        <rFont val="Century Gothic"/>
        <family val="2"/>
      </rPr>
      <t>axial</t>
    </r>
    <phoneticPr fontId="6" type="noConversion"/>
  </si>
  <si>
    <r>
      <rPr>
        <sz val="12"/>
        <rFont val="標楷體"/>
        <family val="4"/>
        <charset val="136"/>
      </rPr>
      <t>螺桿導程</t>
    </r>
    <r>
      <rPr>
        <sz val="12"/>
        <rFont val="Century Gothic"/>
        <family val="2"/>
      </rPr>
      <t xml:space="preserve">pitch, </t>
    </r>
    <r>
      <rPr>
        <b/>
        <sz val="12"/>
        <rFont val="Century Gothic"/>
        <family val="2"/>
      </rPr>
      <t>P</t>
    </r>
    <r>
      <rPr>
        <b/>
        <vertAlign val="subscript"/>
        <sz val="12"/>
        <rFont val="Century Gothic"/>
        <family val="2"/>
      </rPr>
      <t>h</t>
    </r>
    <phoneticPr fontId="6" type="noConversion"/>
  </si>
  <si>
    <t>N-m</t>
    <phoneticPr fontId="6" type="noConversion"/>
  </si>
  <si>
    <t>kgf-mm</t>
    <phoneticPr fontId="6" type="noConversion"/>
  </si>
  <si>
    <t>rpm</t>
    <phoneticPr fontId="6" type="noConversion"/>
  </si>
  <si>
    <r>
      <t>rad/s</t>
    </r>
    <r>
      <rPr>
        <vertAlign val="superscript"/>
        <sz val="12"/>
        <rFont val="Century Gothic"/>
        <family val="2"/>
      </rPr>
      <t>2</t>
    </r>
    <phoneticPr fontId="6" type="noConversion"/>
  </si>
  <si>
    <t>mm/rev</t>
    <phoneticPr fontId="6" type="noConversion"/>
  </si>
  <si>
    <t>kg</t>
    <phoneticPr fontId="6" type="noConversion"/>
  </si>
  <si>
    <t>mm</t>
    <phoneticPr fontId="6" type="noConversion"/>
  </si>
  <si>
    <r>
      <t>滾珠螺桿總長度</t>
    </r>
    <r>
      <rPr>
        <sz val="12"/>
        <rFont val="Century Gothic"/>
        <family val="2"/>
      </rPr>
      <t>, L</t>
    </r>
    <phoneticPr fontId="6" type="noConversion"/>
  </si>
  <si>
    <r>
      <t>螺桿軸外徑</t>
    </r>
    <r>
      <rPr>
        <sz val="12"/>
        <rFont val="Century Gothic"/>
        <family val="2"/>
      </rPr>
      <t>, D</t>
    </r>
    <r>
      <rPr>
        <vertAlign val="subscript"/>
        <sz val="12"/>
        <rFont val="Century Gothic"/>
        <family val="2"/>
      </rPr>
      <t>N</t>
    </r>
    <phoneticPr fontId="6" type="noConversion"/>
  </si>
  <si>
    <r>
      <t>滾珠螺桿重量</t>
    </r>
    <r>
      <rPr>
        <sz val="12"/>
        <rFont val="Century Gothic"/>
        <family val="2"/>
      </rPr>
      <t>, W</t>
    </r>
    <r>
      <rPr>
        <vertAlign val="subscript"/>
        <sz val="12"/>
        <rFont val="Century Gothic"/>
        <family val="2"/>
      </rPr>
      <t>S</t>
    </r>
    <phoneticPr fontId="6" type="noConversion"/>
  </si>
  <si>
    <t>軸心長度</t>
    <phoneticPr fontId="6" type="noConversion"/>
  </si>
  <si>
    <t>軸心直徑</t>
    <phoneticPr fontId="6" type="noConversion"/>
  </si>
  <si>
    <r>
      <t>m/sec</t>
    </r>
    <r>
      <rPr>
        <vertAlign val="superscript"/>
        <sz val="12"/>
        <rFont val="Century Gothic"/>
        <family val="2"/>
      </rPr>
      <t>2</t>
    </r>
    <phoneticPr fontId="6" type="noConversion"/>
  </si>
  <si>
    <r>
      <t>mm/sec</t>
    </r>
    <r>
      <rPr>
        <vertAlign val="superscript"/>
        <sz val="12"/>
        <rFont val="Century Gothic"/>
        <family val="2"/>
      </rPr>
      <t>2</t>
    </r>
    <phoneticPr fontId="6" type="noConversion"/>
  </si>
  <si>
    <r>
      <t>重力加速度</t>
    </r>
    <r>
      <rPr>
        <sz val="12"/>
        <rFont val="Century Gothic"/>
        <family val="2"/>
      </rPr>
      <t>, g</t>
    </r>
    <phoneticPr fontId="6" type="noConversion"/>
  </si>
  <si>
    <r>
      <t>負荷扭矩</t>
    </r>
    <r>
      <rPr>
        <sz val="12"/>
        <rFont val="Century Gothic"/>
        <family val="2"/>
      </rPr>
      <t>, T</t>
    </r>
    <r>
      <rPr>
        <vertAlign val="subscript"/>
        <sz val="12"/>
        <rFont val="Century Gothic"/>
        <family val="2"/>
      </rPr>
      <t>a</t>
    </r>
    <phoneticPr fontId="6" type="noConversion"/>
  </si>
  <si>
    <t>(0.9~0.95)</t>
    <phoneticPr fontId="6" type="noConversion"/>
  </si>
  <si>
    <r>
      <t>機械效率</t>
    </r>
    <r>
      <rPr>
        <sz val="12"/>
        <rFont val="Century Gothic"/>
        <family val="2"/>
      </rPr>
      <t>, η</t>
    </r>
    <r>
      <rPr>
        <vertAlign val="subscript"/>
        <sz val="12"/>
        <rFont val="Century Gothic"/>
        <family val="2"/>
      </rPr>
      <t>1</t>
    </r>
    <phoneticPr fontId="6" type="noConversion"/>
  </si>
  <si>
    <t>馬達驅動扭矩</t>
    <phoneticPr fontId="6" type="noConversion"/>
  </si>
  <si>
    <t>有衝擊、振動時</t>
    <phoneticPr fontId="6" type="noConversion"/>
  </si>
  <si>
    <t>普通運動時</t>
    <phoneticPr fontId="6" type="noConversion"/>
  </si>
  <si>
    <t>普通、圓滑的運動時</t>
    <phoneticPr fontId="6" type="noConversion"/>
  </si>
  <si>
    <r>
      <t>fs</t>
    </r>
    <r>
      <rPr>
        <sz val="12"/>
        <rFont val="標楷體"/>
        <family val="4"/>
        <charset val="136"/>
      </rPr>
      <t>下限</t>
    </r>
    <phoneticPr fontId="6" type="noConversion"/>
  </si>
  <si>
    <t>荷重條件</t>
    <phoneticPr fontId="6" type="noConversion"/>
  </si>
  <si>
    <r>
      <t>負荷係數</t>
    </r>
    <r>
      <rPr>
        <sz val="12"/>
        <rFont val="Century Gothic"/>
        <family val="2"/>
      </rPr>
      <t>, f</t>
    </r>
    <r>
      <rPr>
        <vertAlign val="subscript"/>
        <sz val="12"/>
        <rFont val="Century Gothic"/>
        <family val="2"/>
      </rPr>
      <t>w</t>
    </r>
    <phoneticPr fontId="6" type="noConversion"/>
  </si>
  <si>
    <t>hrs</t>
    <phoneticPr fontId="6" type="noConversion"/>
  </si>
  <si>
    <r>
      <t>額定疲勞壽命</t>
    </r>
    <r>
      <rPr>
        <sz val="12"/>
        <rFont val="Century Gothic"/>
        <family val="2"/>
      </rPr>
      <t>, L</t>
    </r>
    <r>
      <rPr>
        <vertAlign val="subscript"/>
        <sz val="12"/>
        <rFont val="Century Gothic"/>
        <family val="2"/>
      </rPr>
      <t>t</t>
    </r>
    <phoneticPr fontId="6" type="noConversion"/>
  </si>
  <si>
    <t>kgf</t>
    <phoneticPr fontId="6" type="noConversion"/>
  </si>
  <si>
    <r>
      <t>所需動額定負荷</t>
    </r>
    <r>
      <rPr>
        <sz val="12"/>
        <rFont val="Century Gothic"/>
        <family val="2"/>
      </rPr>
      <t>, C</t>
    </r>
    <r>
      <rPr>
        <vertAlign val="subscript"/>
        <sz val="12"/>
        <rFont val="Century Gothic"/>
        <family val="2"/>
      </rPr>
      <t>a</t>
    </r>
    <phoneticPr fontId="6" type="noConversion"/>
  </si>
  <si>
    <t>衝擊與震動運轉</t>
    <phoneticPr fontId="6" type="noConversion"/>
  </si>
  <si>
    <t>PMI</t>
  </si>
  <si>
    <t>無衝擊運轉</t>
    <phoneticPr fontId="6" type="noConversion"/>
  </si>
  <si>
    <t>正常運轉</t>
    <phoneticPr fontId="6" type="noConversion"/>
  </si>
  <si>
    <r>
      <t>η</t>
    </r>
    <r>
      <rPr>
        <vertAlign val="subscript"/>
        <sz val="12"/>
        <rFont val="Century Gothic"/>
        <family val="2"/>
      </rPr>
      <t>2</t>
    </r>
    <phoneticPr fontId="6" type="noConversion"/>
  </si>
  <si>
    <r>
      <t>η</t>
    </r>
    <r>
      <rPr>
        <vertAlign val="subscript"/>
        <sz val="12"/>
        <rFont val="Century Gothic"/>
        <family val="2"/>
      </rPr>
      <t>1</t>
    </r>
    <phoneticPr fontId="6" type="noConversion"/>
  </si>
  <si>
    <t>正常運轉</t>
  </si>
  <si>
    <t>與與運作條件有關的係數</t>
    <phoneticPr fontId="6" type="noConversion"/>
  </si>
  <si>
    <r>
      <t>平均負荷</t>
    </r>
    <r>
      <rPr>
        <sz val="12"/>
        <rFont val="Century Gothic"/>
        <family val="2"/>
      </rPr>
      <t>, P</t>
    </r>
    <r>
      <rPr>
        <vertAlign val="subscript"/>
        <sz val="12"/>
        <rFont val="Century Gothic"/>
        <family val="2"/>
      </rPr>
      <t>e</t>
    </r>
    <phoneticPr fontId="6" type="noConversion"/>
  </si>
  <si>
    <t>PMI</t>
    <phoneticPr fontId="6" type="noConversion"/>
  </si>
  <si>
    <r>
      <t>平均回轉數</t>
    </r>
    <r>
      <rPr>
        <sz val="12"/>
        <rFont val="Century Gothic"/>
        <family val="2"/>
      </rPr>
      <t>, n</t>
    </r>
    <r>
      <rPr>
        <vertAlign val="subscript"/>
        <sz val="12"/>
        <rFont val="Century Gothic"/>
        <family val="2"/>
      </rPr>
      <t>m</t>
    </r>
    <phoneticPr fontId="6" type="noConversion"/>
  </si>
  <si>
    <t>λ</t>
    <phoneticPr fontId="6" type="noConversion"/>
  </si>
  <si>
    <t>f</t>
    <phoneticPr fontId="6" type="noConversion"/>
  </si>
  <si>
    <t>固定-固定</t>
    <phoneticPr fontId="6" type="noConversion"/>
  </si>
  <si>
    <t>固定-自由</t>
    <phoneticPr fontId="6" type="noConversion"/>
  </si>
  <si>
    <t>固定-支撐</t>
    <phoneticPr fontId="6" type="noConversion"/>
  </si>
  <si>
    <t>支撐-支撐</t>
    <phoneticPr fontId="6" type="noConversion"/>
  </si>
  <si>
    <t>固定-支撐</t>
  </si>
  <si>
    <t>與安裝方法有關的係數</t>
    <phoneticPr fontId="6" type="noConversion"/>
  </si>
  <si>
    <r>
      <t>目前選用螺桿軸外徑</t>
    </r>
    <r>
      <rPr>
        <sz val="12"/>
        <rFont val="Century Gothic"/>
        <family val="2"/>
      </rPr>
      <t>, DN</t>
    </r>
    <phoneticPr fontId="6" type="noConversion"/>
  </si>
  <si>
    <r>
      <t>螺桿根徑</t>
    </r>
    <r>
      <rPr>
        <sz val="12"/>
        <rFont val="Century Gothic"/>
        <family val="2"/>
      </rPr>
      <t>, d</t>
    </r>
    <r>
      <rPr>
        <vertAlign val="subscript"/>
        <sz val="12"/>
        <rFont val="Century Gothic"/>
        <family val="2"/>
      </rPr>
      <t xml:space="preserve">r  </t>
    </r>
    <r>
      <rPr>
        <sz val="12"/>
        <rFont val="Century Gothic"/>
        <family val="2"/>
      </rPr>
      <t>&gt;</t>
    </r>
    <phoneticPr fontId="6" type="noConversion"/>
  </si>
  <si>
    <t>考慮容許轉速的計算</t>
    <phoneticPr fontId="6" type="noConversion"/>
  </si>
  <si>
    <r>
      <t>目前選用螺桿軸外徑</t>
    </r>
    <r>
      <rPr>
        <sz val="12"/>
        <rFont val="Century Gothic"/>
        <family val="2"/>
      </rPr>
      <t>, D</t>
    </r>
    <r>
      <rPr>
        <vertAlign val="subscript"/>
        <sz val="12"/>
        <rFont val="Century Gothic"/>
        <family val="2"/>
      </rPr>
      <t>N</t>
    </r>
    <phoneticPr fontId="6" type="noConversion"/>
  </si>
  <si>
    <t>考慮挫屈負載的影響</t>
    <phoneticPr fontId="6" type="noConversion"/>
  </si>
  <si>
    <t>考慮細長比</t>
    <phoneticPr fontId="6" type="noConversion"/>
  </si>
  <si>
    <t>靜止不動</t>
    <phoneticPr fontId="6" type="noConversion"/>
  </si>
  <si>
    <t>等減速下降</t>
    <phoneticPr fontId="6" type="noConversion"/>
  </si>
  <si>
    <t>等速下降</t>
    <phoneticPr fontId="6" type="noConversion"/>
  </si>
  <si>
    <t>等加速下降</t>
    <phoneticPr fontId="6" type="noConversion"/>
  </si>
  <si>
    <t>等減速上昇</t>
    <phoneticPr fontId="6" type="noConversion"/>
  </si>
  <si>
    <t>等速上昇</t>
    <phoneticPr fontId="6" type="noConversion"/>
  </si>
  <si>
    <t>等加速上昇</t>
    <phoneticPr fontId="6" type="noConversion"/>
  </si>
  <si>
    <r>
      <t>使用時間</t>
    </r>
    <r>
      <rPr>
        <sz val="12"/>
        <rFont val="Century Gothic"/>
        <family val="2"/>
      </rPr>
      <t>, sec</t>
    </r>
    <phoneticPr fontId="6" type="noConversion"/>
  </si>
  <si>
    <r>
      <t>使用時間</t>
    </r>
    <r>
      <rPr>
        <sz val="12"/>
        <rFont val="Century Gothic"/>
        <family val="2"/>
      </rPr>
      <t>, min</t>
    </r>
    <phoneticPr fontId="6" type="noConversion"/>
  </si>
  <si>
    <r>
      <t>使用時間</t>
    </r>
    <r>
      <rPr>
        <sz val="12"/>
        <rFont val="Century Gothic"/>
        <family val="2"/>
      </rPr>
      <t>, %</t>
    </r>
    <phoneticPr fontId="6" type="noConversion"/>
  </si>
  <si>
    <r>
      <t>軸向負荷</t>
    </r>
    <r>
      <rPr>
        <sz val="12"/>
        <rFont val="Century Gothic"/>
        <family val="2"/>
      </rPr>
      <t>, N</t>
    </r>
    <phoneticPr fontId="6" type="noConversion"/>
  </si>
  <si>
    <r>
      <t>回轉數</t>
    </r>
    <r>
      <rPr>
        <sz val="12"/>
        <rFont val="Century Gothic"/>
        <family val="2"/>
      </rPr>
      <t>(rpm)</t>
    </r>
    <phoneticPr fontId="6" type="noConversion"/>
  </si>
  <si>
    <r>
      <t>速度</t>
    </r>
    <r>
      <rPr>
        <sz val="12"/>
        <rFont val="Century Gothic"/>
        <family val="2"/>
      </rPr>
      <t>(m/min)</t>
    </r>
    <phoneticPr fontId="6" type="noConversion"/>
  </si>
  <si>
    <t>PMA102-15</t>
    <phoneticPr fontId="6" type="noConversion"/>
  </si>
  <si>
    <t>假設使用條件</t>
    <phoneticPr fontId="6" type="noConversion"/>
  </si>
  <si>
    <t>PMA078-15-ES</t>
    <phoneticPr fontId="6" type="noConversion"/>
  </si>
  <si>
    <t>PMA072-30</t>
    <phoneticPr fontId="6" type="noConversion"/>
  </si>
  <si>
    <t>PMA072-20</t>
    <phoneticPr fontId="6" type="noConversion"/>
  </si>
  <si>
    <t>轉動率</t>
    <phoneticPr fontId="6" type="noConversion"/>
  </si>
  <si>
    <t>PMA072-15</t>
    <phoneticPr fontId="6" type="noConversion"/>
  </si>
  <si>
    <t>years</t>
    <phoneticPr fontId="6" type="noConversion"/>
  </si>
  <si>
    <t>運轉年數</t>
    <phoneticPr fontId="6" type="noConversion"/>
  </si>
  <si>
    <t>PMA072-10</t>
    <phoneticPr fontId="6" type="noConversion"/>
  </si>
  <si>
    <t>days</t>
    <phoneticPr fontId="6" type="noConversion"/>
  </si>
  <si>
    <t>每年運轉日數</t>
    <phoneticPr fontId="6" type="noConversion"/>
  </si>
  <si>
    <t>PMA068-30</t>
    <phoneticPr fontId="6" type="noConversion"/>
  </si>
  <si>
    <t>每日運轉小時數</t>
    <phoneticPr fontId="6" type="noConversion"/>
  </si>
  <si>
    <t>PMA068-25</t>
    <phoneticPr fontId="6" type="noConversion"/>
  </si>
  <si>
    <t>PMA068-20</t>
    <phoneticPr fontId="6" type="noConversion"/>
  </si>
  <si>
    <t>rev/s</t>
    <phoneticPr fontId="6" type="noConversion"/>
  </si>
  <si>
    <t>最快速時伺服馬達之轉速</t>
    <phoneticPr fontId="6" type="noConversion"/>
  </si>
  <si>
    <t>PMA066-25</t>
    <phoneticPr fontId="6" type="noConversion"/>
  </si>
  <si>
    <t>最快速時滾珠螺桿之轉速</t>
    <phoneticPr fontId="6" type="noConversion"/>
  </si>
  <si>
    <t>PMA065-25</t>
    <phoneticPr fontId="6" type="noConversion"/>
  </si>
  <si>
    <t>PMA065-20</t>
    <phoneticPr fontId="6" type="noConversion"/>
  </si>
  <si>
    <t>PMA064-25</t>
    <phoneticPr fontId="6" type="noConversion"/>
  </si>
  <si>
    <t>PMA0615-30</t>
    <phoneticPr fontId="6" type="noConversion"/>
  </si>
  <si>
    <t>目前選用導程</t>
    <phoneticPr fontId="6" type="noConversion"/>
  </si>
  <si>
    <r>
      <t>適用螺桿導程</t>
    </r>
    <r>
      <rPr>
        <sz val="12"/>
        <rFont val="Century Gothic"/>
        <family val="2"/>
      </rPr>
      <t>, l</t>
    </r>
    <phoneticPr fontId="6" type="noConversion"/>
  </si>
  <si>
    <t>PMA0615-25</t>
    <phoneticPr fontId="6" type="noConversion"/>
  </si>
  <si>
    <t>PMA0615-15</t>
    <phoneticPr fontId="6" type="noConversion"/>
  </si>
  <si>
    <t>m/s</t>
    <phoneticPr fontId="6" type="noConversion"/>
  </si>
  <si>
    <t>mm/s</t>
    <phoneticPr fontId="6" type="noConversion"/>
  </si>
  <si>
    <t>m/min</t>
    <phoneticPr fontId="6" type="noConversion"/>
  </si>
  <si>
    <t>mm/min</t>
    <phoneticPr fontId="6" type="noConversion"/>
  </si>
  <si>
    <r>
      <t>最高速度</t>
    </r>
    <r>
      <rPr>
        <sz val="12"/>
        <rFont val="Century Gothic"/>
        <family val="2"/>
      </rPr>
      <t>, V</t>
    </r>
    <r>
      <rPr>
        <vertAlign val="subscript"/>
        <sz val="12"/>
        <rFont val="Century Gothic"/>
        <family val="2"/>
      </rPr>
      <t>max</t>
    </r>
    <phoneticPr fontId="6" type="noConversion"/>
  </si>
  <si>
    <t>PMA0610-25</t>
    <phoneticPr fontId="6" type="noConversion"/>
  </si>
  <si>
    <r>
      <t>最高額定速度</t>
    </r>
    <r>
      <rPr>
        <sz val="12"/>
        <rFont val="Century Gothic"/>
        <family val="2"/>
      </rPr>
      <t>, V</t>
    </r>
    <r>
      <rPr>
        <vertAlign val="subscript"/>
        <sz val="12"/>
        <rFont val="Century Gothic"/>
        <family val="2"/>
      </rPr>
      <t>rated</t>
    </r>
    <phoneticPr fontId="6" type="noConversion"/>
  </si>
  <si>
    <t>Y-56S-MPB</t>
    <phoneticPr fontId="6" type="noConversion"/>
  </si>
  <si>
    <t>PMA0610-15</t>
    <phoneticPr fontId="6" type="noConversion"/>
  </si>
  <si>
    <r>
      <t>全行程轉數</t>
    </r>
    <r>
      <rPr>
        <sz val="12"/>
        <rFont val="Century Gothic"/>
        <family val="2"/>
      </rPr>
      <t>, N</t>
    </r>
    <phoneticPr fontId="6" type="noConversion"/>
  </si>
  <si>
    <t>Y-52S-MPB</t>
    <phoneticPr fontId="6" type="noConversion"/>
  </si>
  <si>
    <t>PMA056-30</t>
    <phoneticPr fontId="6" type="noConversion"/>
  </si>
  <si>
    <t>Y-50S-MPB</t>
    <phoneticPr fontId="6" type="noConversion"/>
  </si>
  <si>
    <t>PMA056-20</t>
    <phoneticPr fontId="6" type="noConversion"/>
  </si>
  <si>
    <t>Y-44S-MPB</t>
    <phoneticPr fontId="6" type="noConversion"/>
  </si>
  <si>
    <t>PMA055-30</t>
    <phoneticPr fontId="6" type="noConversion"/>
  </si>
  <si>
    <t>Y-38S-MPB</t>
    <phoneticPr fontId="6" type="noConversion"/>
  </si>
  <si>
    <t>PMA054-30</t>
    <phoneticPr fontId="6" type="noConversion"/>
  </si>
  <si>
    <r>
      <t>大齒輪厚度</t>
    </r>
    <r>
      <rPr>
        <sz val="12"/>
        <rFont val="Century Gothic"/>
        <family val="2"/>
      </rPr>
      <t>, W</t>
    </r>
    <phoneticPr fontId="6" type="noConversion"/>
  </si>
  <si>
    <t>Y-36S-MPB</t>
    <phoneticPr fontId="6" type="noConversion"/>
  </si>
  <si>
    <t>PMA052-30</t>
    <phoneticPr fontId="6" type="noConversion"/>
  </si>
  <si>
    <r>
      <t>大齒輪直徑</t>
    </r>
    <r>
      <rPr>
        <sz val="12"/>
        <rFont val="Century Gothic"/>
        <family val="2"/>
      </rPr>
      <t>, PD</t>
    </r>
    <phoneticPr fontId="6" type="noConversion"/>
  </si>
  <si>
    <t>Y-34S-QT</t>
    <phoneticPr fontId="6" type="noConversion"/>
  </si>
  <si>
    <t>PM138-15</t>
    <phoneticPr fontId="6" type="noConversion"/>
  </si>
  <si>
    <t>皮帶寬度</t>
    <phoneticPr fontId="6" type="noConversion"/>
  </si>
  <si>
    <t>Y-30S-MPB</t>
    <phoneticPr fontId="6" type="noConversion"/>
  </si>
  <si>
    <t>PM137-15</t>
    <phoneticPr fontId="6" type="noConversion"/>
  </si>
  <si>
    <t>W-60S-MPB</t>
    <phoneticPr fontId="6" type="noConversion"/>
  </si>
  <si>
    <t>PM136-15</t>
    <phoneticPr fontId="6" type="noConversion"/>
  </si>
  <si>
    <r>
      <t>滾珠螺桿側齒輪規格</t>
    </r>
    <r>
      <rPr>
        <sz val="12"/>
        <rFont val="Century Gothic"/>
        <family val="2"/>
      </rPr>
      <t>(</t>
    </r>
    <r>
      <rPr>
        <sz val="12"/>
        <rFont val="標楷體"/>
        <family val="4"/>
        <charset val="136"/>
      </rPr>
      <t>從動</t>
    </r>
    <r>
      <rPr>
        <sz val="12"/>
        <rFont val="Century Gothic"/>
        <family val="2"/>
      </rPr>
      <t>)</t>
    </r>
    <phoneticPr fontId="6" type="noConversion"/>
  </si>
  <si>
    <t>W-48S-MPB</t>
    <phoneticPr fontId="6" type="noConversion"/>
  </si>
  <si>
    <t>PM135-15</t>
    <phoneticPr fontId="6" type="noConversion"/>
  </si>
  <si>
    <t>W-30S-MPB</t>
    <phoneticPr fontId="6" type="noConversion"/>
  </si>
  <si>
    <t>PM134-15</t>
    <phoneticPr fontId="6" type="noConversion"/>
  </si>
  <si>
    <r>
      <t>小齒輪厚度</t>
    </r>
    <r>
      <rPr>
        <sz val="12"/>
        <rFont val="Century Gothic"/>
        <family val="2"/>
      </rPr>
      <t>,W</t>
    </r>
    <phoneticPr fontId="6" type="noConversion"/>
  </si>
  <si>
    <t>W-24S-MPB</t>
    <phoneticPr fontId="6" type="noConversion"/>
  </si>
  <si>
    <t>PM133-15</t>
    <phoneticPr fontId="6" type="noConversion"/>
  </si>
  <si>
    <r>
      <t>小齒輪直徑</t>
    </r>
    <r>
      <rPr>
        <sz val="12"/>
        <rFont val="Century Gothic"/>
        <family val="2"/>
      </rPr>
      <t>, PD</t>
    </r>
    <phoneticPr fontId="6" type="noConversion"/>
  </si>
  <si>
    <t>HTPA60S8M300-A</t>
    <phoneticPr fontId="6" type="noConversion"/>
  </si>
  <si>
    <t>PM132-15</t>
    <phoneticPr fontId="6" type="noConversion"/>
  </si>
  <si>
    <t>HTPA60S8M250-A</t>
    <phoneticPr fontId="6" type="noConversion"/>
  </si>
  <si>
    <t>PM109-15</t>
    <phoneticPr fontId="6" type="noConversion"/>
  </si>
  <si>
    <t>HTPA50S8M300-A</t>
    <phoneticPr fontId="6" type="noConversion"/>
  </si>
  <si>
    <t>PM108-15</t>
    <phoneticPr fontId="6" type="noConversion"/>
  </si>
  <si>
    <r>
      <t>伺服馬達側齒輪規格</t>
    </r>
    <r>
      <rPr>
        <sz val="12"/>
        <rFont val="Century Gothic"/>
        <family val="2"/>
      </rPr>
      <t>(</t>
    </r>
    <r>
      <rPr>
        <sz val="12"/>
        <rFont val="標楷體"/>
        <family val="4"/>
        <charset val="136"/>
      </rPr>
      <t>傳動</t>
    </r>
    <r>
      <rPr>
        <sz val="12"/>
        <rFont val="Century Gothic"/>
        <family val="2"/>
      </rPr>
      <t>)</t>
    </r>
    <phoneticPr fontId="6" type="noConversion"/>
  </si>
  <si>
    <t>HTPA50S8M250-A</t>
    <phoneticPr fontId="6" type="noConversion"/>
  </si>
  <si>
    <t>PM106-15</t>
    <phoneticPr fontId="6" type="noConversion"/>
  </si>
  <si>
    <t>HTPA48S8M300-A</t>
    <phoneticPr fontId="6" type="noConversion"/>
  </si>
  <si>
    <t>PM105-15</t>
    <phoneticPr fontId="6" type="noConversion"/>
  </si>
  <si>
    <t>HTPA48S8M250-A</t>
    <phoneticPr fontId="6" type="noConversion"/>
  </si>
  <si>
    <t>PM104-15</t>
    <phoneticPr fontId="6" type="noConversion"/>
  </si>
  <si>
    <t>HTPA48S8M150-A</t>
    <phoneticPr fontId="6" type="noConversion"/>
  </si>
  <si>
    <t>PM103-15</t>
    <phoneticPr fontId="6" type="noConversion"/>
  </si>
  <si>
    <t>重量</t>
    <phoneticPr fontId="6" type="noConversion"/>
  </si>
  <si>
    <t>HTPA44S8M300-A</t>
    <phoneticPr fontId="6" type="noConversion"/>
  </si>
  <si>
    <t>A</t>
    <phoneticPr fontId="6" type="noConversion"/>
  </si>
  <si>
    <t>最大電流</t>
    <phoneticPr fontId="6" type="noConversion"/>
  </si>
  <si>
    <t>HTPA44S8M250-A</t>
    <phoneticPr fontId="6" type="noConversion"/>
  </si>
  <si>
    <t>額定電流</t>
    <phoneticPr fontId="6" type="noConversion"/>
  </si>
  <si>
    <t>HTPA40S8M300-A</t>
    <phoneticPr fontId="6" type="noConversion"/>
  </si>
  <si>
    <t>PM078-15</t>
  </si>
  <si>
    <t>瞬間容許轉速</t>
    <phoneticPr fontId="6" type="noConversion"/>
  </si>
  <si>
    <t>HTPA40S8M250-A</t>
    <phoneticPr fontId="6" type="noConversion"/>
  </si>
  <si>
    <t>HTPA38S8M300-A</t>
    <phoneticPr fontId="6" type="noConversion"/>
  </si>
  <si>
    <t>PM076-30</t>
  </si>
  <si>
    <t>最大轉矩</t>
    <phoneticPr fontId="6" type="noConversion"/>
  </si>
  <si>
    <t>HTPA38S8M250-A</t>
    <phoneticPr fontId="6" type="noConversion"/>
  </si>
  <si>
    <t>PM076-20</t>
  </si>
  <si>
    <t>HTPA36S8M300-A</t>
    <phoneticPr fontId="6" type="noConversion"/>
  </si>
  <si>
    <t>PM076-15</t>
  </si>
  <si>
    <t>額定出力容量</t>
    <phoneticPr fontId="6" type="noConversion"/>
  </si>
  <si>
    <t>HTPA36S8M250-A</t>
    <phoneticPr fontId="6" type="noConversion"/>
  </si>
  <si>
    <t>PM076-10</t>
  </si>
  <si>
    <t>伺服驅動器型號</t>
    <phoneticPr fontId="6" type="noConversion"/>
  </si>
  <si>
    <t>HTPA34S8M300-A</t>
    <phoneticPr fontId="6" type="noConversion"/>
  </si>
  <si>
    <t>PM074-30</t>
  </si>
  <si>
    <t>伺服馬達型號</t>
    <phoneticPr fontId="6" type="noConversion"/>
  </si>
  <si>
    <t>HTPA34S8M250-A</t>
    <phoneticPr fontId="6" type="noConversion"/>
  </si>
  <si>
    <t>PM074-20</t>
  </si>
  <si>
    <t>HTPA32S8M300-A</t>
    <phoneticPr fontId="6" type="noConversion"/>
  </si>
  <si>
    <t>PM074-15</t>
  </si>
  <si>
    <t>最快速度要求</t>
    <phoneticPr fontId="6" type="noConversion"/>
  </si>
  <si>
    <t>HTPA32S8M250-A</t>
    <phoneticPr fontId="6" type="noConversion"/>
  </si>
  <si>
    <t>PM074-10</t>
  </si>
  <si>
    <t>s</t>
    <phoneticPr fontId="6" type="noConversion"/>
  </si>
  <si>
    <t>加速時間要求</t>
    <phoneticPr fontId="6" type="noConversion"/>
  </si>
  <si>
    <t>HTPA30S8M300-A</t>
    <phoneticPr fontId="6" type="noConversion"/>
  </si>
  <si>
    <t>PM072-30</t>
  </si>
  <si>
    <r>
      <t>rev/s</t>
    </r>
    <r>
      <rPr>
        <vertAlign val="superscript"/>
        <sz val="12"/>
        <rFont val="Century Gothic"/>
        <family val="2"/>
      </rPr>
      <t>2</t>
    </r>
    <phoneticPr fontId="6" type="noConversion"/>
  </si>
  <si>
    <t>角加速度</t>
  </si>
  <si>
    <t>HTPA30S8M250-A</t>
    <phoneticPr fontId="6" type="noConversion"/>
  </si>
  <si>
    <t>PM072-20</t>
  </si>
  <si>
    <t>HTPA30S8M150-A</t>
    <phoneticPr fontId="6" type="noConversion"/>
  </si>
  <si>
    <t>PM072-15</t>
  </si>
  <si>
    <r>
      <t>※角加速度單位為</t>
    </r>
    <r>
      <rPr>
        <sz val="12"/>
        <rFont val="Century Gothic"/>
        <family val="2"/>
      </rPr>
      <t xml:space="preserve"> rad/s</t>
    </r>
    <r>
      <rPr>
        <vertAlign val="superscript"/>
        <sz val="12"/>
        <rFont val="Century Gothic"/>
        <family val="2"/>
      </rPr>
      <t>2</t>
    </r>
    <r>
      <rPr>
        <sz val="12"/>
        <rFont val="Century Gothic"/>
        <family val="2"/>
      </rPr>
      <t xml:space="preserve"> =&gt; 2π rad/s</t>
    </r>
    <r>
      <rPr>
        <vertAlign val="superscript"/>
        <sz val="12"/>
        <rFont val="Century Gothic"/>
        <family val="2"/>
      </rPr>
      <t>2</t>
    </r>
    <r>
      <rPr>
        <sz val="12"/>
        <rFont val="Century Gothic"/>
        <family val="2"/>
      </rPr>
      <t xml:space="preserve"> = 1 rev/s</t>
    </r>
    <r>
      <rPr>
        <vertAlign val="superscript"/>
        <sz val="12"/>
        <rFont val="Century Gothic"/>
        <family val="2"/>
      </rPr>
      <t>2</t>
    </r>
    <phoneticPr fontId="6" type="noConversion"/>
  </si>
  <si>
    <t>HTPA28S8M300-A</t>
    <phoneticPr fontId="6" type="noConversion"/>
  </si>
  <si>
    <t>PM072-10</t>
  </si>
  <si>
    <r>
      <t>※角速度單位為</t>
    </r>
    <r>
      <rPr>
        <sz val="12"/>
        <rFont val="Century Gothic"/>
        <family val="2"/>
      </rPr>
      <t xml:space="preserve"> rad/s =&gt; 2π rad/s = 1 rev/s = 60 rev/min = 60 rpm</t>
    </r>
    <phoneticPr fontId="6" type="noConversion"/>
  </si>
  <si>
    <t>HTPA28S8M250-A</t>
    <phoneticPr fontId="6" type="noConversion"/>
  </si>
  <si>
    <t>MR-JE-40A</t>
    <phoneticPr fontId="6" type="noConversion"/>
  </si>
  <si>
    <r>
      <t>※角度單位為</t>
    </r>
    <r>
      <rPr>
        <sz val="12"/>
        <rFont val="Century Gothic"/>
        <family val="2"/>
      </rPr>
      <t xml:space="preserve"> rad =&gt; 2π rad = 360º = 1 rev   (rev = revolutions)</t>
    </r>
    <phoneticPr fontId="6" type="noConversion"/>
  </si>
  <si>
    <t>HTPA26S8M300-A</t>
    <phoneticPr fontId="6" type="noConversion"/>
  </si>
  <si>
    <t>MR-J3 200</t>
  </si>
  <si>
    <r>
      <t>mm/s</t>
    </r>
    <r>
      <rPr>
        <vertAlign val="superscript"/>
        <sz val="12"/>
        <rFont val="Century Gothic"/>
        <family val="2"/>
      </rPr>
      <t>2</t>
    </r>
    <phoneticPr fontId="6" type="noConversion"/>
  </si>
  <si>
    <r>
      <t>m/s</t>
    </r>
    <r>
      <rPr>
        <vertAlign val="superscript"/>
        <sz val="12"/>
        <rFont val="Century Gothic"/>
        <family val="2"/>
      </rPr>
      <t>2</t>
    </r>
    <phoneticPr fontId="6" type="noConversion"/>
  </si>
  <si>
    <t>g</t>
    <phoneticPr fontId="6" type="noConversion"/>
  </si>
  <si>
    <t>最大加速度要求</t>
    <phoneticPr fontId="6" type="noConversion"/>
  </si>
  <si>
    <t>HTPA26S8M250-A</t>
    <phoneticPr fontId="6" type="noConversion"/>
  </si>
  <si>
    <t>MR-J3 500</t>
  </si>
  <si>
    <t>HF-SP 502(B)</t>
  </si>
  <si>
    <t>HTPA25S8M300-A</t>
    <phoneticPr fontId="6" type="noConversion"/>
  </si>
  <si>
    <t>HF-SP 352(B)</t>
  </si>
  <si>
    <t>HTPA25S8M250-A</t>
    <phoneticPr fontId="6" type="noConversion"/>
  </si>
  <si>
    <t>HF-SP 202(B)</t>
  </si>
  <si>
    <t>HTPA24S8M300-A</t>
    <phoneticPr fontId="6" type="noConversion"/>
  </si>
  <si>
    <t>HF-SP 152(B)</t>
  </si>
  <si>
    <t>滾珠螺冒長度</t>
    <phoneticPr fontId="6" type="noConversion"/>
  </si>
  <si>
    <t>HTPA24S8M250-A</t>
    <phoneticPr fontId="6" type="noConversion"/>
  </si>
  <si>
    <t>HF-SP 102(B)</t>
  </si>
  <si>
    <t>kgf/μm</t>
    <phoneticPr fontId="6" type="noConversion"/>
  </si>
  <si>
    <r>
      <t>剛性</t>
    </r>
    <r>
      <rPr>
        <sz val="12"/>
        <rFont val="Century Gothic"/>
        <family val="2"/>
      </rPr>
      <t>, K</t>
    </r>
    <phoneticPr fontId="6" type="noConversion"/>
  </si>
  <si>
    <t>HTPA22S8M300-A</t>
    <phoneticPr fontId="6" type="noConversion"/>
  </si>
  <si>
    <t>HC-RP 503(B)</t>
  </si>
  <si>
    <t>HTPA22S8M250-A</t>
    <phoneticPr fontId="6" type="noConversion"/>
  </si>
  <si>
    <t>HC-RP 353(B)</t>
  </si>
  <si>
    <t>HTPA21S8M300-A</t>
    <phoneticPr fontId="6" type="noConversion"/>
  </si>
  <si>
    <t>MR-J3 350</t>
  </si>
  <si>
    <t>HC-RP 203(B)</t>
  </si>
  <si>
    <t>HTPA21S8M250-A</t>
    <phoneticPr fontId="6" type="noConversion"/>
  </si>
  <si>
    <t>HC-RP 105(B)</t>
  </si>
  <si>
    <t>HTPA20S8M300-A</t>
    <phoneticPr fontId="6" type="noConversion"/>
  </si>
  <si>
    <t>HC-RP 103(B)</t>
  </si>
  <si>
    <t>滾珠螺桿型號</t>
    <phoneticPr fontId="6" type="noConversion"/>
  </si>
  <si>
    <t>HTPA20S8M250-A</t>
    <phoneticPr fontId="6" type="noConversion"/>
  </si>
  <si>
    <t>Mini OPDE</t>
    <phoneticPr fontId="6" type="noConversion"/>
  </si>
  <si>
    <t>HTPA19S8M300-A</t>
    <phoneticPr fontId="6" type="noConversion"/>
  </si>
  <si>
    <t>導引面磨擦係數</t>
    <phoneticPr fontId="6" type="noConversion"/>
  </si>
  <si>
    <t>HTPA19S8M250-A</t>
    <phoneticPr fontId="6" type="noConversion"/>
  </si>
  <si>
    <t>degree</t>
    <phoneticPr fontId="6" type="noConversion"/>
  </si>
  <si>
    <t>安裝角度</t>
    <phoneticPr fontId="6" type="noConversion"/>
  </si>
  <si>
    <t>HTPA18S8M300-A</t>
    <phoneticPr fontId="6" type="noConversion"/>
  </si>
  <si>
    <t>ESM125E-380V</t>
    <phoneticPr fontId="6" type="noConversion"/>
  </si>
  <si>
    <t>缸行程</t>
    <phoneticPr fontId="6" type="noConversion"/>
  </si>
  <si>
    <t>HTPA18S8M250-A</t>
    <phoneticPr fontId="6" type="noConversion"/>
  </si>
  <si>
    <t>ESM125E-220V</t>
    <phoneticPr fontId="6" type="noConversion"/>
  </si>
  <si>
    <t>PCS</t>
    <phoneticPr fontId="6" type="noConversion"/>
  </si>
  <si>
    <r>
      <t>齒輪厚度</t>
    </r>
    <r>
      <rPr>
        <sz val="12"/>
        <rFont val="Century Gothic"/>
        <family val="2"/>
      </rPr>
      <t>,W</t>
    </r>
    <phoneticPr fontId="6" type="noConversion"/>
  </si>
  <si>
    <r>
      <t>齒輪直徑</t>
    </r>
    <r>
      <rPr>
        <sz val="12"/>
        <rFont val="Century Gothic"/>
        <family val="2"/>
      </rPr>
      <t>, PD</t>
    </r>
    <phoneticPr fontId="6" type="noConversion"/>
  </si>
  <si>
    <t>齒數</t>
    <phoneticPr fontId="6" type="noConversion"/>
  </si>
  <si>
    <t>時規皮帶輪</t>
    <phoneticPr fontId="6" type="noConversion"/>
  </si>
  <si>
    <t>額定回轉數</t>
    <phoneticPr fontId="6" type="noConversion"/>
  </si>
  <si>
    <t>額定轉矩</t>
    <phoneticPr fontId="6" type="noConversion"/>
  </si>
  <si>
    <r>
      <t>螺帽長度</t>
    </r>
    <r>
      <rPr>
        <sz val="12"/>
        <rFont val="Century Gothic"/>
        <family val="2"/>
      </rPr>
      <t>, L</t>
    </r>
    <phoneticPr fontId="6" type="noConversion"/>
  </si>
  <si>
    <r>
      <t>剛性</t>
    </r>
    <r>
      <rPr>
        <sz val="12"/>
        <rFont val="Century Gothic"/>
        <family val="2"/>
      </rPr>
      <t>, K(kg/um)</t>
    </r>
    <phoneticPr fontId="6" type="noConversion"/>
  </si>
  <si>
    <r>
      <t>靜額定負荷</t>
    </r>
    <r>
      <rPr>
        <sz val="12"/>
        <rFont val="Century Gothic"/>
        <family val="2"/>
      </rPr>
      <t>, Coa(kfg)</t>
    </r>
    <phoneticPr fontId="6" type="noConversion"/>
  </si>
  <si>
    <r>
      <t>動額定負荷</t>
    </r>
    <r>
      <rPr>
        <sz val="12"/>
        <rFont val="Century Gothic"/>
        <family val="2"/>
      </rPr>
      <t>, Ca(kgf)</t>
    </r>
    <phoneticPr fontId="6" type="noConversion"/>
  </si>
  <si>
    <r>
      <t>珠徑</t>
    </r>
    <r>
      <rPr>
        <sz val="12"/>
        <rFont val="Century Gothic"/>
        <family val="2"/>
      </rPr>
      <t>, Da(mm)</t>
    </r>
    <phoneticPr fontId="6" type="noConversion"/>
  </si>
  <si>
    <r>
      <t>螺桿螺距</t>
    </r>
    <r>
      <rPr>
        <sz val="12"/>
        <rFont val="Century Gothic"/>
        <family val="2"/>
      </rPr>
      <t>(mm)</t>
    </r>
    <phoneticPr fontId="6" type="noConversion"/>
  </si>
  <si>
    <r>
      <t>螺桿軸外徑</t>
    </r>
    <r>
      <rPr>
        <sz val="12"/>
        <rFont val="Century Gothic"/>
        <family val="2"/>
      </rPr>
      <t>(mm)</t>
    </r>
    <phoneticPr fontId="6" type="noConversion"/>
  </si>
  <si>
    <t>平台負載</t>
    <phoneticPr fontId="6" type="noConversion"/>
  </si>
  <si>
    <r>
      <rPr>
        <sz val="12"/>
        <rFont val="標楷體"/>
        <family val="4"/>
        <charset val="136"/>
      </rPr>
      <t>馬達扭力</t>
    </r>
    <r>
      <rPr>
        <sz val="12"/>
        <rFont val="Century Gothic"/>
        <family val="2"/>
      </rPr>
      <t xml:space="preserve">, </t>
    </r>
    <r>
      <rPr>
        <b/>
        <sz val="12"/>
        <rFont val="Century Gothic"/>
        <family val="2"/>
      </rPr>
      <t>T</t>
    </r>
    <r>
      <rPr>
        <b/>
        <vertAlign val="subscript"/>
        <sz val="12"/>
        <rFont val="Century Gothic"/>
        <family val="2"/>
      </rPr>
      <t>drive</t>
    </r>
    <phoneticPr fontId="6" type="noConversion"/>
  </si>
  <si>
    <r>
      <rPr>
        <sz val="12"/>
        <color indexed="8"/>
        <rFont val="標楷體"/>
        <family val="4"/>
        <charset val="136"/>
      </rPr>
      <t>螺桿側皮帶輪齒數</t>
    </r>
    <r>
      <rPr>
        <sz val="12"/>
        <color indexed="8"/>
        <rFont val="Century Gothic"/>
        <family val="2"/>
      </rPr>
      <t xml:space="preserve">, </t>
    </r>
    <r>
      <rPr>
        <b/>
        <sz val="12"/>
        <color indexed="8"/>
        <rFont val="Century Gothic"/>
        <family val="2"/>
      </rPr>
      <t>N</t>
    </r>
    <r>
      <rPr>
        <b/>
        <vertAlign val="subscript"/>
        <sz val="12"/>
        <color indexed="8"/>
        <rFont val="Century Gothic"/>
        <family val="2"/>
      </rPr>
      <t>2</t>
    </r>
    <phoneticPr fontId="6" type="noConversion"/>
  </si>
  <si>
    <r>
      <rPr>
        <sz val="12"/>
        <color indexed="8"/>
        <rFont val="標楷體"/>
        <family val="4"/>
        <charset val="136"/>
      </rPr>
      <t>馬達側皮帶輪齒數</t>
    </r>
    <r>
      <rPr>
        <sz val="12"/>
        <color indexed="8"/>
        <rFont val="Century Gothic"/>
        <family val="2"/>
      </rPr>
      <t xml:space="preserve">, </t>
    </r>
    <r>
      <rPr>
        <b/>
        <sz val="12"/>
        <color indexed="8"/>
        <rFont val="Century Gothic"/>
        <family val="2"/>
      </rPr>
      <t>N</t>
    </r>
    <r>
      <rPr>
        <b/>
        <vertAlign val="subscript"/>
        <sz val="12"/>
        <color indexed="8"/>
        <rFont val="Century Gothic"/>
        <family val="2"/>
      </rPr>
      <t>1</t>
    </r>
    <phoneticPr fontId="6" type="noConversion"/>
  </si>
  <si>
    <t>kgf-m</t>
    <phoneticPr fontId="6" type="noConversion"/>
  </si>
  <si>
    <r>
      <rPr>
        <sz val="12"/>
        <rFont val="標楷體"/>
        <family val="4"/>
        <charset val="136"/>
      </rPr>
      <t>軸</t>
    </r>
    <r>
      <rPr>
        <sz val="12"/>
        <rFont val="Century Gothic"/>
        <family val="2"/>
      </rPr>
      <t>-</t>
    </r>
    <r>
      <rPr>
        <sz val="12"/>
        <rFont val="標楷體"/>
        <family val="4"/>
        <charset val="136"/>
      </rPr>
      <t>淨輸入扭力</t>
    </r>
    <r>
      <rPr>
        <sz val="12"/>
        <rFont val="Century Gothic"/>
        <family val="2"/>
      </rPr>
      <t xml:space="preserve">, </t>
    </r>
    <r>
      <rPr>
        <b/>
        <sz val="12"/>
        <rFont val="Century Gothic"/>
        <family val="2"/>
      </rPr>
      <t>T</t>
    </r>
    <r>
      <rPr>
        <b/>
        <vertAlign val="subscript"/>
        <sz val="12"/>
        <rFont val="Century Gothic"/>
        <family val="2"/>
      </rPr>
      <t>axial</t>
    </r>
    <phoneticPr fontId="6" type="noConversion"/>
  </si>
  <si>
    <t>軸-淨輸入</t>
    <phoneticPr fontId="6" type="noConversion"/>
  </si>
  <si>
    <r>
      <t xml:space="preserve">螺桿傳動機械效率, </t>
    </r>
    <r>
      <rPr>
        <b/>
        <sz val="12"/>
        <rFont val="Calibri"/>
        <family val="2"/>
        <charset val="161"/>
      </rPr>
      <t>η</t>
    </r>
    <phoneticPr fontId="6" type="noConversion"/>
  </si>
  <si>
    <r>
      <rPr>
        <sz val="12"/>
        <color indexed="8"/>
        <rFont val="標楷體"/>
        <family val="4"/>
        <charset val="136"/>
      </rPr>
      <t>螺桿導程</t>
    </r>
    <r>
      <rPr>
        <sz val="12"/>
        <color indexed="8"/>
        <rFont val="Century Gothic"/>
        <family val="2"/>
      </rPr>
      <t xml:space="preserve">, </t>
    </r>
    <r>
      <rPr>
        <b/>
        <sz val="12"/>
        <color indexed="8"/>
        <rFont val="Century Gothic"/>
        <family val="2"/>
      </rPr>
      <t>P</t>
    </r>
    <r>
      <rPr>
        <b/>
        <vertAlign val="subscript"/>
        <sz val="12"/>
        <color indexed="8"/>
        <rFont val="Century Gothic"/>
        <family val="2"/>
      </rPr>
      <t>h</t>
    </r>
    <phoneticPr fontId="6" type="noConversion"/>
  </si>
  <si>
    <r>
      <rPr>
        <sz val="12"/>
        <rFont val="標楷體"/>
        <family val="4"/>
        <charset val="136"/>
      </rPr>
      <t>皮帶傳動效率</t>
    </r>
    <r>
      <rPr>
        <sz val="12"/>
        <rFont val="Century Gothic"/>
        <family val="2"/>
      </rPr>
      <t xml:space="preserve">, </t>
    </r>
    <r>
      <rPr>
        <b/>
        <sz val="12"/>
        <rFont val="Century Gothic"/>
        <family val="2"/>
      </rPr>
      <t>η</t>
    </r>
    <r>
      <rPr>
        <b/>
        <vertAlign val="subscript"/>
        <sz val="12"/>
        <rFont val="Century Gothic"/>
        <family val="2"/>
      </rPr>
      <t>pulley</t>
    </r>
    <r>
      <rPr>
        <b/>
        <sz val="12"/>
        <rFont val="Century Gothic"/>
        <family val="2"/>
      </rPr>
      <t xml:space="preserve"> </t>
    </r>
    <phoneticPr fontId="6" type="noConversion"/>
  </si>
  <si>
    <r>
      <rPr>
        <sz val="12"/>
        <rFont val="標楷體"/>
        <family val="4"/>
        <charset val="136"/>
      </rPr>
      <t>馬達額定轉速</t>
    </r>
    <r>
      <rPr>
        <sz val="12"/>
        <rFont val="Century Gothic"/>
        <family val="2"/>
      </rPr>
      <t xml:space="preserve">, </t>
    </r>
    <r>
      <rPr>
        <b/>
        <sz val="12"/>
        <rFont val="Century Gothic"/>
        <family val="2"/>
      </rPr>
      <t>R</t>
    </r>
    <r>
      <rPr>
        <b/>
        <vertAlign val="subscript"/>
        <sz val="12"/>
        <rFont val="Century Gothic"/>
        <family val="2"/>
      </rPr>
      <t>rpm</t>
    </r>
    <phoneticPr fontId="6" type="noConversion"/>
  </si>
  <si>
    <r>
      <rPr>
        <sz val="12"/>
        <rFont val="標楷體"/>
        <family val="4"/>
        <charset val="136"/>
      </rPr>
      <t>馬達額定扭力</t>
    </r>
    <r>
      <rPr>
        <sz val="12"/>
        <rFont val="Century Gothic"/>
        <family val="2"/>
      </rPr>
      <t xml:space="preserve">, </t>
    </r>
    <r>
      <rPr>
        <b/>
        <sz val="12"/>
        <rFont val="Century Gothic"/>
        <family val="2"/>
      </rPr>
      <t>T</t>
    </r>
    <r>
      <rPr>
        <b/>
        <vertAlign val="subscript"/>
        <sz val="12"/>
        <rFont val="Century Gothic"/>
        <family val="2"/>
      </rPr>
      <t>drive</t>
    </r>
    <phoneticPr fontId="6" type="noConversion"/>
  </si>
  <si>
    <r>
      <t>動額定負荷</t>
    </r>
    <r>
      <rPr>
        <sz val="12"/>
        <rFont val="Century Gothic"/>
        <family val="2"/>
      </rPr>
      <t xml:space="preserve">, </t>
    </r>
    <r>
      <rPr>
        <b/>
        <sz val="12"/>
        <rFont val="Century Gothic"/>
        <family val="2"/>
      </rPr>
      <t>C</t>
    </r>
    <r>
      <rPr>
        <b/>
        <vertAlign val="subscript"/>
        <sz val="12"/>
        <rFont val="Century Gothic"/>
        <family val="2"/>
      </rPr>
      <t>a</t>
    </r>
    <phoneticPr fontId="6" type="noConversion"/>
  </si>
  <si>
    <r>
      <rPr>
        <sz val="12"/>
        <rFont val="標楷體"/>
        <family val="4"/>
        <charset val="136"/>
      </rPr>
      <t>靜額定負荷</t>
    </r>
    <r>
      <rPr>
        <sz val="12"/>
        <rFont val="Century Gothic"/>
        <family val="2"/>
      </rPr>
      <t xml:space="preserve">, </t>
    </r>
    <r>
      <rPr>
        <b/>
        <sz val="12"/>
        <rFont val="Century Gothic"/>
        <family val="2"/>
      </rPr>
      <t>C</t>
    </r>
    <r>
      <rPr>
        <b/>
        <vertAlign val="subscript"/>
        <sz val="12"/>
        <rFont val="Century Gothic"/>
        <family val="2"/>
      </rPr>
      <t>oa</t>
    </r>
    <phoneticPr fontId="6" type="noConversion"/>
  </si>
  <si>
    <r>
      <rPr>
        <sz val="12"/>
        <rFont val="標楷體"/>
        <family val="4"/>
        <charset val="136"/>
      </rPr>
      <t>減速比</t>
    </r>
    <r>
      <rPr>
        <sz val="12"/>
        <rFont val="Century Gothic"/>
        <family val="2"/>
      </rPr>
      <t xml:space="preserve">(Slave/Drive), </t>
    </r>
    <r>
      <rPr>
        <b/>
        <sz val="12"/>
        <rFont val="Century Gothic"/>
        <family val="2"/>
      </rPr>
      <t>i</t>
    </r>
    <phoneticPr fontId="6" type="noConversion"/>
  </si>
  <si>
    <t>運行條件</t>
    <phoneticPr fontId="6" type="noConversion"/>
  </si>
  <si>
    <r>
      <rPr>
        <sz val="12"/>
        <rFont val="標楷體"/>
        <family val="4"/>
        <charset val="136"/>
      </rPr>
      <t>需求壽命</t>
    </r>
    <r>
      <rPr>
        <sz val="12"/>
        <rFont val="Century Gothic"/>
        <family val="2"/>
      </rPr>
      <t>, L</t>
    </r>
    <r>
      <rPr>
        <vertAlign val="subscript"/>
        <sz val="12"/>
        <rFont val="Century Gothic"/>
        <family val="2"/>
      </rPr>
      <t>T</t>
    </r>
    <phoneticPr fontId="6" type="noConversion"/>
  </si>
  <si>
    <t>HTPA32S8M250-A</t>
  </si>
  <si>
    <t>HTPA48S8M250-A</t>
  </si>
  <si>
    <t>SKF</t>
  </si>
  <si>
    <t>BRF030x06</t>
  </si>
  <si>
    <t>BRF030x10</t>
  </si>
  <si>
    <t>BRF030x20</t>
  </si>
  <si>
    <t>BRF036x06</t>
  </si>
  <si>
    <t>BRF036x09</t>
  </si>
  <si>
    <t>BRF036x12</t>
  </si>
  <si>
    <t>BRF036x18</t>
  </si>
  <si>
    <t>BRF036x24</t>
  </si>
  <si>
    <t>BRF039x10</t>
  </si>
  <si>
    <t>BRF039x20</t>
  </si>
  <si>
    <t>BRF048x10</t>
  </si>
  <si>
    <t>BRF048x20</t>
  </si>
  <si>
    <t>BRF056x12</t>
  </si>
  <si>
    <t>BRF056x24</t>
  </si>
  <si>
    <t>BRF060x10</t>
  </si>
  <si>
    <t>BRF060x20</t>
  </si>
  <si>
    <t>BRF064x12</t>
  </si>
  <si>
    <t>BRF064x24</t>
  </si>
  <si>
    <t>BRF075x10</t>
  </si>
  <si>
    <t>BRF075x20</t>
  </si>
  <si>
    <t>BRF080x12</t>
  </si>
  <si>
    <t>BRF080x18</t>
  </si>
  <si>
    <t>BRF080x24</t>
  </si>
  <si>
    <t>BRF099x20</t>
  </si>
  <si>
    <t>BRF100x24</t>
  </si>
  <si>
    <t>BRF120x24</t>
  </si>
  <si>
    <t>BRF120x25</t>
  </si>
  <si>
    <t>BRF150x25</t>
  </si>
  <si>
    <t>BRF150x36</t>
  </si>
  <si>
    <t>BRF180x30</t>
  </si>
  <si>
    <t>BRF210x30</t>
  </si>
  <si>
    <t>Rexroth</t>
  </si>
  <si>
    <t>PMI</t>
    <phoneticPr fontId="17" type="noConversion"/>
  </si>
  <si>
    <t>TBI</t>
  </si>
  <si>
    <t>BP016x05 SPPJ4281</t>
    <phoneticPr fontId="17" type="noConversion"/>
  </si>
  <si>
    <t>BRF030x05</t>
    <phoneticPr fontId="17" type="noConversion"/>
  </si>
  <si>
    <t>FDWE-050x20_6.35-3.5</t>
    <phoneticPr fontId="17" type="noConversion"/>
  </si>
  <si>
    <t>FDWE-050x20_6.35-5</t>
    <phoneticPr fontId="17" type="noConversion"/>
  </si>
  <si>
    <t>FEM-E-C-016x10R</t>
    <phoneticPr fontId="17" type="noConversion"/>
  </si>
  <si>
    <t>FEM-E-C-016x16Rx3-4</t>
    <phoneticPr fontId="17" type="noConversion"/>
  </si>
  <si>
    <t>FEM-E-C-020x05Rx3-4</t>
    <phoneticPr fontId="17" type="noConversion"/>
  </si>
  <si>
    <t>FEM-E-C-020x10Rx3-4</t>
    <phoneticPr fontId="17" type="noConversion"/>
  </si>
  <si>
    <t>FEM-E-C-020x20Rx3.5-2</t>
    <phoneticPr fontId="17" type="noConversion"/>
  </si>
  <si>
    <t>FEM-E-C025x05Rx3-4</t>
    <phoneticPr fontId="17" type="noConversion"/>
  </si>
  <si>
    <t>FEM-E-C025x10Rx3-4</t>
    <phoneticPr fontId="17" type="noConversion"/>
  </si>
  <si>
    <t>FEM-E-C025x25Rx3.5-2</t>
    <phoneticPr fontId="17" type="noConversion"/>
  </si>
  <si>
    <t>FEM-E-C032x05Rx3.5-4</t>
    <phoneticPr fontId="17" type="noConversion"/>
  </si>
  <si>
    <t>FEM-E-C032x10Rx3.969-5</t>
    <phoneticPr fontId="17" type="noConversion"/>
  </si>
  <si>
    <t>FEM-E-C032x20Rx3.969-2</t>
    <phoneticPr fontId="17" type="noConversion"/>
  </si>
  <si>
    <t>FEM-E-C032x32Rx3.969-2</t>
    <phoneticPr fontId="17" type="noConversion"/>
  </si>
  <si>
    <t>FEM-E-C040x05Rx3.5-5</t>
    <phoneticPr fontId="17" type="noConversion"/>
  </si>
  <si>
    <t>FEM-E-C040x10Rx6-4</t>
    <phoneticPr fontId="17" type="noConversion"/>
  </si>
  <si>
    <t>FEM-E-C040x10Rx6-6</t>
    <phoneticPr fontId="17" type="noConversion"/>
  </si>
  <si>
    <t>FEM-E-C040x20Rx6-3</t>
    <phoneticPr fontId="17" type="noConversion"/>
  </si>
  <si>
    <t>FEM-E-C040x40Rx6-2</t>
    <phoneticPr fontId="17" type="noConversion"/>
  </si>
  <si>
    <t>FEM-E-C050x05Rx3.5-5</t>
    <phoneticPr fontId="17" type="noConversion"/>
  </si>
  <si>
    <t>FEM-E-C050x10Rx6-6</t>
    <phoneticPr fontId="17" type="noConversion"/>
  </si>
  <si>
    <t>FEM-E-C050x16Rx6-6</t>
    <phoneticPr fontId="17" type="noConversion"/>
  </si>
  <si>
    <t>FEM-E-C050x20Rx6.5-3</t>
    <phoneticPr fontId="17" type="noConversion"/>
  </si>
  <si>
    <t>FEM-E-C050x40Rx6.5-2</t>
    <phoneticPr fontId="17" type="noConversion"/>
  </si>
  <si>
    <t>FEM-E-C063x10Rx6-6</t>
    <phoneticPr fontId="17" type="noConversion"/>
  </si>
  <si>
    <t>FEM-E-C063x20Rx6.5-3</t>
    <phoneticPr fontId="17" type="noConversion"/>
  </si>
  <si>
    <t>FOIC-025x05_4-3</t>
    <phoneticPr fontId="17" type="noConversion"/>
  </si>
  <si>
    <t>FOIC-025x06_3.969-3</t>
    <phoneticPr fontId="17" type="noConversion"/>
  </si>
  <si>
    <t>FOIC-025x08_3.969-3</t>
    <phoneticPr fontId="17" type="noConversion"/>
  </si>
  <si>
    <t>FOIC-025x10_4.762-2</t>
    <phoneticPr fontId="17" type="noConversion"/>
  </si>
  <si>
    <t>FOIC-025x10_4.762-3</t>
    <phoneticPr fontId="17" type="noConversion"/>
  </si>
  <si>
    <t>FOIC-028x06_3.175-3</t>
    <phoneticPr fontId="17" type="noConversion"/>
  </si>
  <si>
    <t>FOIC-028x10_3.175-2</t>
    <phoneticPr fontId="17" type="noConversion"/>
  </si>
  <si>
    <t>FOIC-032x06_3.969-3</t>
    <phoneticPr fontId="17" type="noConversion"/>
  </si>
  <si>
    <t>FOIC-032x06_3.969-4</t>
    <phoneticPr fontId="17" type="noConversion"/>
  </si>
  <si>
    <t>FOIC-032x10_6.35-3</t>
    <phoneticPr fontId="17" type="noConversion"/>
  </si>
  <si>
    <t>FOIC-032x12_6.35-3</t>
    <phoneticPr fontId="17" type="noConversion"/>
  </si>
  <si>
    <t>FOIC-040x05_3.175-6</t>
    <phoneticPr fontId="17" type="noConversion"/>
  </si>
  <si>
    <t>FOIC-040x10_6.35-3</t>
    <phoneticPr fontId="17" type="noConversion"/>
  </si>
  <si>
    <t>FOIC-040x10_6.35-4</t>
    <phoneticPr fontId="6" type="noConversion"/>
  </si>
  <si>
    <t>FOIC-040x12_6.35-4</t>
    <phoneticPr fontId="6" type="noConversion"/>
  </si>
  <si>
    <t>FOIC-050x10_6.35-3</t>
    <phoneticPr fontId="6" type="noConversion"/>
  </si>
  <si>
    <t>FOIC-050x10_6.35-4</t>
    <phoneticPr fontId="6" type="noConversion"/>
  </si>
  <si>
    <t>FOIC-063x10_6.35-4</t>
    <phoneticPr fontId="6" type="noConversion"/>
  </si>
  <si>
    <t>FOIC-063x12_7.938-3</t>
    <phoneticPr fontId="6" type="noConversion"/>
  </si>
  <si>
    <t>FOIC-063x12_7.938-4</t>
    <phoneticPr fontId="6" type="noConversion"/>
  </si>
  <si>
    <t>FOIC-063x20_9.525-2</t>
    <phoneticPr fontId="6" type="noConversion"/>
  </si>
  <si>
    <t>FOIC-080x10_6.35-3</t>
    <phoneticPr fontId="6" type="noConversion"/>
  </si>
  <si>
    <t>FOIC-080x16_9.525-2</t>
    <phoneticPr fontId="6" type="noConversion"/>
  </si>
  <si>
    <t>FOIC-080x20_9.525-3</t>
    <phoneticPr fontId="6" type="noConversion"/>
  </si>
  <si>
    <t>FSDC-016x05_3.175-3</t>
    <phoneticPr fontId="6" type="noConversion"/>
  </si>
  <si>
    <t>FSDC-020x10_3.175-3</t>
    <phoneticPr fontId="17" type="noConversion"/>
  </si>
  <si>
    <t>FSDC-020x10_4.762-4</t>
    <phoneticPr fontId="17" type="noConversion"/>
  </si>
  <si>
    <t>FSDC-020x20_3.175-2</t>
    <phoneticPr fontId="17" type="noConversion"/>
  </si>
  <si>
    <t>FSDC-025x10_3.175-3</t>
    <phoneticPr fontId="17" type="noConversion"/>
  </si>
  <si>
    <t>FSDC-025x10_4.762-4</t>
    <phoneticPr fontId="17" type="noConversion"/>
  </si>
  <si>
    <t>FSDC-025x10_6.35-5</t>
    <phoneticPr fontId="17" type="noConversion"/>
  </si>
  <si>
    <t>FSDC-025x15_3.175-3</t>
    <phoneticPr fontId="17" type="noConversion"/>
  </si>
  <si>
    <t>FSDC-025x16_4.762-4</t>
    <phoneticPr fontId="17" type="noConversion"/>
  </si>
  <si>
    <t>FSDC-025x25_3.969-2</t>
    <phoneticPr fontId="17" type="noConversion"/>
  </si>
  <si>
    <t>FSDC-028x10_4.762-3</t>
    <phoneticPr fontId="17" type="noConversion"/>
  </si>
  <si>
    <t>FSDC-028x10_6.35-5</t>
    <phoneticPr fontId="17" type="noConversion"/>
  </si>
  <si>
    <t>FSDC-032x10_3.969-4</t>
    <phoneticPr fontId="17" type="noConversion"/>
  </si>
  <si>
    <t>FSDC-032x10_4.762-5</t>
    <phoneticPr fontId="17" type="noConversion"/>
  </si>
  <si>
    <t>FSDC-032x10_5.556-5</t>
    <phoneticPr fontId="17" type="noConversion"/>
  </si>
  <si>
    <t>FSDC-032x10_6.35-5</t>
    <phoneticPr fontId="17" type="noConversion"/>
  </si>
  <si>
    <t>FSDC-032x15_4.762-5</t>
    <phoneticPr fontId="17" type="noConversion"/>
  </si>
  <si>
    <t>FSDC-032x16_5.556-5</t>
    <phoneticPr fontId="17" type="noConversion"/>
  </si>
  <si>
    <t>FSDC-032x16_6.35-5</t>
    <phoneticPr fontId="17" type="noConversion"/>
  </si>
  <si>
    <t>FSDC-032x20_4.762-2</t>
    <phoneticPr fontId="17" type="noConversion"/>
  </si>
  <si>
    <t>FSDC-036x10_6.35-5</t>
    <phoneticPr fontId="17" type="noConversion"/>
  </si>
  <si>
    <t>FSDC-036x16_6.35-5</t>
    <phoneticPr fontId="17" type="noConversion"/>
  </si>
  <si>
    <t>FSDC-036x20_6.35-4</t>
    <phoneticPr fontId="17" type="noConversion"/>
  </si>
  <si>
    <t>FSDC-038x10_6.35-5</t>
    <phoneticPr fontId="17" type="noConversion"/>
  </si>
  <si>
    <t>FSDC-038x16_6.35-5</t>
    <phoneticPr fontId="17" type="noConversion"/>
  </si>
  <si>
    <t>FSDC-040x10_6.35-5</t>
    <phoneticPr fontId="17" type="noConversion"/>
  </si>
  <si>
    <t>FSDC-040x12_6.35-5</t>
    <phoneticPr fontId="17" type="noConversion"/>
  </si>
  <si>
    <t>FSDC-040x12_7.144-5</t>
    <phoneticPr fontId="17" type="noConversion"/>
  </si>
  <si>
    <t>FSDC-040x16_6.35-5</t>
    <phoneticPr fontId="17" type="noConversion"/>
  </si>
  <si>
    <t>FSDC-040x16_7.144-5</t>
    <phoneticPr fontId="17" type="noConversion"/>
  </si>
  <si>
    <t>FSDC-040x20_6.35-5</t>
    <phoneticPr fontId="17" type="noConversion"/>
  </si>
  <si>
    <t>FSDC-045x10_6.35-5</t>
    <phoneticPr fontId="6" type="noConversion"/>
  </si>
  <si>
    <t>FSDC-045x12_6.35-5</t>
    <phoneticPr fontId="17" type="noConversion"/>
  </si>
  <si>
    <t>FSDC-045x16_6.35-5</t>
    <phoneticPr fontId="6" type="noConversion"/>
  </si>
  <si>
    <t>FSDC-050x10_6.35-5</t>
    <phoneticPr fontId="6" type="noConversion"/>
  </si>
  <si>
    <t>FSDC-050x12_6.35-5</t>
    <phoneticPr fontId="6" type="noConversion"/>
  </si>
  <si>
    <t>FSDC-050x16_6.35-5</t>
    <phoneticPr fontId="6" type="noConversion"/>
  </si>
  <si>
    <t>FSDC-050x20_7.938-4</t>
    <phoneticPr fontId="6" type="noConversion"/>
  </si>
  <si>
    <t>FSDC-055x12_6.35-5</t>
    <phoneticPr fontId="6" type="noConversion"/>
  </si>
  <si>
    <t>FSDH-045x12</t>
    <phoneticPr fontId="17" type="noConversion"/>
  </si>
  <si>
    <t>FSDH-045x16</t>
    <phoneticPr fontId="17" type="noConversion"/>
  </si>
  <si>
    <t>FSDH-045x20</t>
    <phoneticPr fontId="17" type="noConversion"/>
  </si>
  <si>
    <t>FSDH-050x16</t>
    <phoneticPr fontId="17" type="noConversion"/>
  </si>
  <si>
    <t>FSDH-050x20</t>
    <phoneticPr fontId="17" type="noConversion"/>
  </si>
  <si>
    <t>FSDH-063x32</t>
    <phoneticPr fontId="17" type="noConversion"/>
  </si>
  <si>
    <t>FSDH-063x40</t>
    <phoneticPr fontId="17" type="noConversion"/>
  </si>
  <si>
    <t>FSDH-080x50</t>
    <phoneticPr fontId="17" type="noConversion"/>
  </si>
  <si>
    <t>FSDH-100x60</t>
    <phoneticPr fontId="17" type="noConversion"/>
  </si>
  <si>
    <t>FSVH-040x10_7.938-3.5</t>
    <phoneticPr fontId="17" type="noConversion"/>
  </si>
  <si>
    <t>FSVH-040x12-9.525-3.5</t>
    <phoneticPr fontId="17" type="noConversion"/>
  </si>
  <si>
    <t>FSVH-050x10_7.938-3.5</t>
    <phoneticPr fontId="17" type="noConversion"/>
  </si>
  <si>
    <t>FSVH-050x16_12.7-3.5</t>
    <phoneticPr fontId="17" type="noConversion"/>
  </si>
  <si>
    <t>FSVH-050x16_12.7-6</t>
    <phoneticPr fontId="17" type="noConversion"/>
  </si>
  <si>
    <t>FSVH-050x20-12.7-3.5</t>
    <phoneticPr fontId="17" type="noConversion"/>
  </si>
  <si>
    <t>FSVH-055x10_7.938-3.5</t>
    <phoneticPr fontId="17" type="noConversion"/>
  </si>
  <si>
    <t>FSVH-055x16_12.7-3.5</t>
    <phoneticPr fontId="17" type="noConversion"/>
  </si>
  <si>
    <t>FSVH-055x16_12.7-6</t>
    <phoneticPr fontId="17" type="noConversion"/>
  </si>
  <si>
    <t>FSVH-063x20_15.875-2.5</t>
    <phoneticPr fontId="17" type="noConversion"/>
  </si>
  <si>
    <t>FSVH-063x20_15.875-3.5</t>
    <phoneticPr fontId="17" type="noConversion"/>
  </si>
  <si>
    <t>FSVH-063x25_15.875-2.5</t>
    <phoneticPr fontId="17" type="noConversion"/>
  </si>
  <si>
    <t>FSVH-080x16_12.7-3.5</t>
    <phoneticPr fontId="17" type="noConversion"/>
  </si>
  <si>
    <t>FSVH-080x16_12.7-6</t>
    <phoneticPr fontId="17" type="noConversion"/>
  </si>
  <si>
    <t>FSVH-080x20_15.875-3.5</t>
    <phoneticPr fontId="17" type="noConversion"/>
  </si>
  <si>
    <t>FSVH-080x20_15.875-6</t>
    <phoneticPr fontId="17" type="noConversion"/>
  </si>
  <si>
    <t>FSVH-080x25_19.05-3.5</t>
    <phoneticPr fontId="17" type="noConversion"/>
  </si>
  <si>
    <t>FSVH-080x25_19.05-6</t>
    <phoneticPr fontId="17" type="noConversion"/>
  </si>
  <si>
    <t>FSWC-045x10_2.5-3</t>
    <phoneticPr fontId="17" type="noConversion"/>
  </si>
  <si>
    <t>FSWC-045x12_2.5-3</t>
    <phoneticPr fontId="17" type="noConversion"/>
  </si>
  <si>
    <t>FSWC-050x10_2.5-3</t>
    <phoneticPr fontId="17" type="noConversion"/>
  </si>
  <si>
    <t>FSWW-020x10_4.762-2.5</t>
    <phoneticPr fontId="17" type="noConversion"/>
  </si>
  <si>
    <t>FSWW-025x10_4.762-2.5</t>
    <phoneticPr fontId="17" type="noConversion"/>
  </si>
  <si>
    <t>FSWW-025x10_6.35-2.5</t>
    <phoneticPr fontId="17" type="noConversion"/>
  </si>
  <si>
    <t>FSWW-040x10_6.35-2.5</t>
    <phoneticPr fontId="17" type="noConversion"/>
  </si>
  <si>
    <t>HBN-040x10-7.5</t>
    <phoneticPr fontId="17" type="noConversion"/>
  </si>
  <si>
    <t>HBN-040x12-7.5</t>
    <phoneticPr fontId="17" type="noConversion"/>
  </si>
  <si>
    <t>HBN-050x16-7.5</t>
    <phoneticPr fontId="17" type="noConversion"/>
  </si>
  <si>
    <t>HRC-150x20</t>
    <phoneticPr fontId="17" type="noConversion"/>
  </si>
  <si>
    <t>HRC-180x20</t>
    <phoneticPr fontId="17" type="noConversion"/>
  </si>
  <si>
    <t>HRC-180x30</t>
    <phoneticPr fontId="17" type="noConversion"/>
  </si>
  <si>
    <t>HRC-210x20</t>
    <phoneticPr fontId="17" type="noConversion"/>
  </si>
  <si>
    <t>HRC-240x25</t>
    <phoneticPr fontId="17" type="noConversion"/>
  </si>
  <si>
    <t>HTF-SRC-050x14-7.5</t>
    <phoneticPr fontId="17" type="noConversion"/>
  </si>
  <si>
    <t>HTF-SRC-050x16-7.5</t>
    <phoneticPr fontId="17" type="noConversion"/>
  </si>
  <si>
    <t>HTF-SRD-050x40-6E</t>
    <phoneticPr fontId="17" type="noConversion"/>
  </si>
  <si>
    <t>HTF-SRD-063x32-4E</t>
    <phoneticPr fontId="17" type="noConversion"/>
  </si>
  <si>
    <t>PLSA-030x10</t>
    <phoneticPr fontId="17" type="noConversion"/>
  </si>
  <si>
    <t>PLSA-039x10</t>
    <phoneticPr fontId="17" type="noConversion"/>
  </si>
  <si>
    <t>PLSA-048x10</t>
    <phoneticPr fontId="17" type="noConversion"/>
  </si>
  <si>
    <t>PLSA-060x10</t>
    <phoneticPr fontId="17" type="noConversion"/>
  </si>
  <si>
    <t>PLSA-060x20</t>
    <phoneticPr fontId="17" type="noConversion"/>
  </si>
  <si>
    <t>PLSA-075x10</t>
    <phoneticPr fontId="17" type="noConversion"/>
  </si>
  <si>
    <t>PLSA-075x20</t>
    <phoneticPr fontId="17" type="noConversion"/>
  </si>
  <si>
    <t>SFV-032x10-4.8</t>
    <phoneticPr fontId="17" type="noConversion"/>
  </si>
  <si>
    <t>SFV-032x20-2.7</t>
    <phoneticPr fontId="17" type="noConversion"/>
  </si>
  <si>
    <t>SFV-040x10-4.8</t>
    <phoneticPr fontId="17" type="noConversion"/>
  </si>
  <si>
    <t>SFV-040x20-2.7</t>
    <phoneticPr fontId="17" type="noConversion"/>
  </si>
  <si>
    <t>SFV-050x10-4.8</t>
    <phoneticPr fontId="17" type="noConversion"/>
  </si>
  <si>
    <t>SFV-050x20-2.7</t>
    <phoneticPr fontId="17" type="noConversion"/>
  </si>
  <si>
    <t>SFV-063x10-2.7</t>
    <phoneticPr fontId="17" type="noConversion"/>
  </si>
  <si>
    <t>ZEM-E-S-016x5Rx3-4</t>
    <phoneticPr fontId="17" type="noConversion"/>
  </si>
  <si>
    <t>ZEM-E-S-020x10Rx3-4</t>
    <phoneticPr fontId="17" type="noConversion"/>
  </si>
  <si>
    <t>FSDC-020x10_4.762-4</t>
  </si>
  <si>
    <t>110MB040A-001000</t>
    <phoneticPr fontId="17" type="noConversion"/>
  </si>
  <si>
    <t>SYNTRON</t>
    <phoneticPr fontId="17" type="noConversion"/>
  </si>
  <si>
    <t>110MB060D-001000</t>
    <phoneticPr fontId="17" type="noConversion"/>
  </si>
  <si>
    <t>110MB075B-001000</t>
    <phoneticPr fontId="17" type="noConversion"/>
  </si>
  <si>
    <t>110MB075D-001000</t>
    <phoneticPr fontId="17" type="noConversion"/>
  </si>
  <si>
    <t>110MB200C-R58B11</t>
    <phoneticPr fontId="6" type="noConversion"/>
  </si>
  <si>
    <t>HS200AE</t>
    <phoneticPr fontId="17" type="noConversion"/>
  </si>
  <si>
    <t>130MB300C-R48B11</t>
    <phoneticPr fontId="6" type="noConversion"/>
  </si>
  <si>
    <t>HS300AE</t>
    <phoneticPr fontId="17" type="noConversion"/>
  </si>
  <si>
    <t>ESM060A</t>
    <phoneticPr fontId="6" type="noConversion"/>
  </si>
  <si>
    <t>HPB</t>
    <phoneticPr fontId="17" type="noConversion"/>
  </si>
  <si>
    <t>ESM085A</t>
    <phoneticPr fontId="6" type="noConversion"/>
  </si>
  <si>
    <t>ESM085B</t>
    <phoneticPr fontId="6" type="noConversion"/>
  </si>
  <si>
    <t>ESM085D</t>
    <phoneticPr fontId="6" type="noConversion"/>
  </si>
  <si>
    <t>Mitsubishi</t>
    <phoneticPr fontId="17" type="noConversion"/>
  </si>
  <si>
    <t>HF-SP 702(B)</t>
    <phoneticPr fontId="18" type="noConversion"/>
  </si>
  <si>
    <t>HG-JR103(B)_200V</t>
    <phoneticPr fontId="18" type="noConversion"/>
  </si>
  <si>
    <t>MR-J4-100A/B</t>
    <phoneticPr fontId="6" type="noConversion"/>
  </si>
  <si>
    <t>HG-JR153(B)_200V</t>
    <phoneticPr fontId="18" type="noConversion"/>
  </si>
  <si>
    <t>MR-J4-200A/B</t>
    <phoneticPr fontId="6" type="noConversion"/>
  </si>
  <si>
    <t>HG-JR203(B)_200V</t>
    <phoneticPr fontId="18" type="noConversion"/>
  </si>
  <si>
    <t>HG-JR353(B)_200V</t>
    <phoneticPr fontId="18" type="noConversion"/>
  </si>
  <si>
    <t>MR-J4-350A/B</t>
    <phoneticPr fontId="6" type="noConversion"/>
  </si>
  <si>
    <t>HG-JR503(B)_200V</t>
    <phoneticPr fontId="18" type="noConversion"/>
  </si>
  <si>
    <t>MR-J4-500A/B</t>
    <phoneticPr fontId="6" type="noConversion"/>
  </si>
  <si>
    <t>HG-JR53(B)</t>
    <phoneticPr fontId="18" type="noConversion"/>
  </si>
  <si>
    <t>MR-J4-60A/B</t>
    <phoneticPr fontId="6" type="noConversion"/>
  </si>
  <si>
    <t>HG-JR703(B)_200V</t>
    <phoneticPr fontId="18" type="noConversion"/>
  </si>
  <si>
    <t>MR-J4-700A/B</t>
    <phoneticPr fontId="6" type="noConversion"/>
  </si>
  <si>
    <t>HG-JR73(B)</t>
    <phoneticPr fontId="18" type="noConversion"/>
  </si>
  <si>
    <t>MR-J4-70A/B</t>
    <phoneticPr fontId="6" type="noConversion"/>
  </si>
  <si>
    <t>HG-JR903(B)_200V</t>
    <phoneticPr fontId="18" type="noConversion"/>
  </si>
  <si>
    <t>MR-J4-11KA/B</t>
    <phoneticPr fontId="6" type="noConversion"/>
  </si>
  <si>
    <t>HG-KN43B-K(B)</t>
    <phoneticPr fontId="6" type="noConversion"/>
  </si>
  <si>
    <t>HG-KR053(B)</t>
    <phoneticPr fontId="18" type="noConversion"/>
  </si>
  <si>
    <t>MR-J4-10A/B</t>
    <phoneticPr fontId="6" type="noConversion"/>
  </si>
  <si>
    <t>HG-KR13(B)</t>
    <phoneticPr fontId="18" type="noConversion"/>
  </si>
  <si>
    <t>HG-KR23(B)</t>
    <phoneticPr fontId="18" type="noConversion"/>
  </si>
  <si>
    <t>MR-J4-20A/B</t>
    <phoneticPr fontId="6" type="noConversion"/>
  </si>
  <si>
    <t>HG-KR43(B)</t>
    <phoneticPr fontId="18" type="noConversion"/>
  </si>
  <si>
    <t>MR-J4-40A/B</t>
    <phoneticPr fontId="6" type="noConversion"/>
  </si>
  <si>
    <t>HG-KR73(B)</t>
    <phoneticPr fontId="18" type="noConversion"/>
  </si>
  <si>
    <t>HG-MR053(B)</t>
    <phoneticPr fontId="18" type="noConversion"/>
  </si>
  <si>
    <t>HG-MR13(B)</t>
    <phoneticPr fontId="18" type="noConversion"/>
  </si>
  <si>
    <t>HG-MR23(B)</t>
    <phoneticPr fontId="18" type="noConversion"/>
  </si>
  <si>
    <t>HG-MR43(B)</t>
    <phoneticPr fontId="18" type="noConversion"/>
  </si>
  <si>
    <t>HG-MR73(B)</t>
    <phoneticPr fontId="18" type="noConversion"/>
  </si>
  <si>
    <t>HG-SR102(B)</t>
    <phoneticPr fontId="18" type="noConversion"/>
  </si>
  <si>
    <t>HG-SR121(B)</t>
    <phoneticPr fontId="18" type="noConversion"/>
  </si>
  <si>
    <t>HG-SR152(B)</t>
    <phoneticPr fontId="18" type="noConversion"/>
  </si>
  <si>
    <t>HG-SR201(B)</t>
    <phoneticPr fontId="18" type="noConversion"/>
  </si>
  <si>
    <t>HG-SR202(B)</t>
    <phoneticPr fontId="18" type="noConversion"/>
  </si>
  <si>
    <t>HG-SR301(B)</t>
    <phoneticPr fontId="18" type="noConversion"/>
  </si>
  <si>
    <t>HG-SR352(B)</t>
    <phoneticPr fontId="18" type="noConversion"/>
  </si>
  <si>
    <t>HG-SR421(B)</t>
    <phoneticPr fontId="18" type="noConversion"/>
  </si>
  <si>
    <t>HG-SR502(B)</t>
    <phoneticPr fontId="18" type="noConversion"/>
  </si>
  <si>
    <t>HG-SR51(B)</t>
    <phoneticPr fontId="18" type="noConversion"/>
  </si>
  <si>
    <t>HG-SR52(B)</t>
    <phoneticPr fontId="18" type="noConversion"/>
  </si>
  <si>
    <t>HG-SR702(B)</t>
    <phoneticPr fontId="18" type="noConversion"/>
  </si>
  <si>
    <t>HG-SR81(B)</t>
    <phoneticPr fontId="18" type="noConversion"/>
  </si>
  <si>
    <t>PM078-30</t>
    <phoneticPr fontId="6" type="noConversion"/>
  </si>
  <si>
    <t>PM102-30</t>
    <phoneticPr fontId="6" type="noConversion"/>
  </si>
  <si>
    <t>PM103-30</t>
    <phoneticPr fontId="6" type="noConversion"/>
  </si>
  <si>
    <t>PM104-30</t>
    <phoneticPr fontId="6" type="noConversion"/>
  </si>
  <si>
    <t>PM105-30</t>
    <phoneticPr fontId="6" type="noConversion"/>
  </si>
  <si>
    <t>PM106-30</t>
    <phoneticPr fontId="6" type="noConversion"/>
  </si>
  <si>
    <t>PM108-30</t>
    <phoneticPr fontId="6" type="noConversion"/>
  </si>
  <si>
    <t>PM109-30</t>
    <phoneticPr fontId="6" type="noConversion"/>
  </si>
  <si>
    <t>PM132-30</t>
    <phoneticPr fontId="6" type="noConversion"/>
  </si>
  <si>
    <t>PM133-30</t>
    <phoneticPr fontId="6" type="noConversion"/>
  </si>
  <si>
    <t>PM134-30</t>
    <phoneticPr fontId="6" type="noConversion"/>
  </si>
  <si>
    <t>PM135-30</t>
    <phoneticPr fontId="6" type="noConversion"/>
  </si>
  <si>
    <t>PM136-30</t>
    <phoneticPr fontId="6" type="noConversion"/>
  </si>
  <si>
    <t>PM137-30</t>
    <phoneticPr fontId="6" type="noConversion"/>
  </si>
  <si>
    <t>PM138-30</t>
    <phoneticPr fontId="6" type="noConversion"/>
  </si>
  <si>
    <t>PMA078-30-ES</t>
    <phoneticPr fontId="6" type="noConversion"/>
  </si>
  <si>
    <t>PMA102-30</t>
    <phoneticPr fontId="6" type="noConversion"/>
  </si>
  <si>
    <t>PMA103-15</t>
    <phoneticPr fontId="6" type="noConversion"/>
  </si>
  <si>
    <t>PMA103-30</t>
    <phoneticPr fontId="6" type="noConversion"/>
  </si>
  <si>
    <t>SME-L00520SDBU</t>
    <phoneticPr fontId="17" type="noConversion"/>
  </si>
  <si>
    <t>Shihlin</t>
    <phoneticPr fontId="17" type="noConversion"/>
  </si>
  <si>
    <t>SME-L01020SDBU</t>
    <phoneticPr fontId="17" type="noConversion"/>
  </si>
  <si>
    <t>SME-L02020SDBU</t>
    <phoneticPr fontId="17" type="noConversion"/>
  </si>
  <si>
    <t>SME-L04020SDBU</t>
    <phoneticPr fontId="17" type="noConversion"/>
  </si>
  <si>
    <t>SME-L07520SDBU</t>
    <phoneticPr fontId="17" type="noConversion"/>
  </si>
  <si>
    <t>SME-L10020SDBU</t>
    <phoneticPr fontId="17" type="noConversion"/>
  </si>
  <si>
    <t>SME-L15020SDBU</t>
    <phoneticPr fontId="17" type="noConversion"/>
  </si>
  <si>
    <t>SME-L20020SDBU</t>
    <phoneticPr fontId="17" type="noConversion"/>
  </si>
  <si>
    <t>SME-L30020SDBU</t>
    <phoneticPr fontId="17" type="noConversion"/>
  </si>
  <si>
    <t>SDE-010A2U</t>
    <phoneticPr fontId="17" type="noConversion"/>
  </si>
  <si>
    <t>SDE-020A2U</t>
    <phoneticPr fontId="17" type="noConversion"/>
  </si>
  <si>
    <t>SDE-040A2U</t>
    <phoneticPr fontId="17" type="noConversion"/>
  </si>
  <si>
    <t>SDE-075A2U</t>
    <phoneticPr fontId="17" type="noConversion"/>
  </si>
  <si>
    <t>SDE-100A2U</t>
    <phoneticPr fontId="17" type="noConversion"/>
  </si>
  <si>
    <t>SDE-150A2U</t>
    <phoneticPr fontId="17" type="noConversion"/>
  </si>
  <si>
    <t>SDE-200A2U</t>
    <phoneticPr fontId="17" type="noConversion"/>
  </si>
  <si>
    <t>SDE-300A2U</t>
    <phoneticPr fontId="17" type="noConversion"/>
  </si>
  <si>
    <t>110MB200C-R58B11</t>
  </si>
  <si>
    <t>SME-L20020SDBU</t>
    <phoneticPr fontId="6" type="noConversion"/>
  </si>
  <si>
    <t>SFNU-016x05-3.175x5</t>
    <phoneticPr fontId="6" type="noConversion"/>
  </si>
  <si>
    <t>TBI</t>
    <phoneticPr fontId="6" type="noConversion"/>
  </si>
  <si>
    <t>SFNU-025x10-4.762x4</t>
    <phoneticPr fontId="6" type="noConversion"/>
  </si>
  <si>
    <t>SFNU-032x10-6.35x4</t>
  </si>
  <si>
    <t>SFNU-032x10-6.35x4</t>
    <phoneticPr fontId="6" type="noConversion"/>
  </si>
  <si>
    <t>SFNU-040x10-6.35x4</t>
    <phoneticPr fontId="6" type="noConversion"/>
  </si>
  <si>
    <t>FSDC-025x10_6.35-5</t>
    <phoneticPr fontId="6" type="noConversion"/>
  </si>
  <si>
    <t>FFNU-016x05-3.175x5</t>
    <phoneticPr fontId="6" type="noConversion"/>
  </si>
  <si>
    <t>FFNU-025x10-4.762x4</t>
    <phoneticPr fontId="6" type="noConversion"/>
  </si>
  <si>
    <t>FFNU-032x10-6.35x4</t>
  </si>
  <si>
    <t>FFNU-032x10-6.35x4</t>
    <phoneticPr fontId="6" type="noConversion"/>
  </si>
  <si>
    <t>FFNU-040x10-6.35x4</t>
    <phoneticPr fontId="6" type="noConversion"/>
  </si>
  <si>
    <t>Fulex</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</si>
</sst>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76" formatCode="\ General"/>
    <numFmt numFmtId="177" formatCode="_-* #,##0_-;\-* #,##0_-;_-* &quot;-&quot;??_-;_-@_-"/>
    <numFmt numFmtId="178" formatCode="0.00_ "/>
    <numFmt numFmtId="179" formatCode="0.0_ "/>
    <numFmt numFmtId="180" formatCode="_-* #,##0.0_-;\-* #,##0.0_-;_-* &quot;-&quot;??_-;_-@_-"/>
    <numFmt numFmtId="181" formatCode="_-* #,##0.000_-;\-* #,##0.000_-;_-* &quot;-&quot;???_-;_-@_-"/>
    <numFmt numFmtId="182" formatCode="0.000_ "/>
    <numFmt numFmtId="183" formatCode="&quot;MR-J2S&quot;\ General"/>
    <numFmt numFmtId="184" formatCode="0.00000_ "/>
    <numFmt numFmtId="185" formatCode="_-* #,##0.000_-;\-* #,##0.000_-;_-* &quot;-&quot;??_-;_-@_-"/>
  </numFmts>
  <fonts count="19" x14ac:knownFonts="1">
    <font>
      <sz val="12"/>
      <name val="新細明體"/>
      <family val="1"/>
      <charset val="136"/>
    </font>
    <font>
      <sz val="12"/>
      <name val="新細明體"/>
      <family val="1"/>
      <charset val="136"/>
    </font>
    <font>
      <sz val="12"/>
      <name val="標楷體"/>
      <family val="4"/>
      <charset val="136"/>
    </font>
    <font>
      <sz val="12"/>
      <name val="Century Gothic"/>
      <family val="2"/>
    </font>
    <font>
      <b/>
      <sz val="12"/>
      <name val="Century Gothic"/>
      <family val="2"/>
    </font>
    <font>
      <b/>
      <vertAlign val="subscript"/>
      <sz val="12"/>
      <name val="Century Gothic"/>
      <family val="2"/>
    </font>
    <font>
      <sz val="9"/>
      <name val="新細明體"/>
      <family val="1"/>
      <charset val="136"/>
    </font>
    <font>
      <sz val="12"/>
      <color theme="1"/>
      <name val="Century Gothic"/>
      <family val="2"/>
    </font>
    <font>
      <sz val="12"/>
      <color indexed="8"/>
      <name val="標楷體"/>
      <family val="4"/>
      <charset val="136"/>
    </font>
    <font>
      <sz val="12"/>
      <color indexed="8"/>
      <name val="Century Gothic"/>
      <family val="2"/>
    </font>
    <font>
      <b/>
      <sz val="12"/>
      <color indexed="8"/>
      <name val="Century Gothic"/>
      <family val="2"/>
    </font>
    <font>
      <b/>
      <vertAlign val="subscript"/>
      <sz val="12"/>
      <color indexed="8"/>
      <name val="Century Gothic"/>
      <family val="2"/>
    </font>
    <font>
      <sz val="12"/>
      <name val="Century Gothic"/>
      <family val="4"/>
      <charset val="136"/>
    </font>
    <font>
      <sz val="12"/>
      <color indexed="8"/>
      <name val="Century Gothic"/>
      <family val="4"/>
      <charset val="136"/>
    </font>
    <font>
      <vertAlign val="subscript"/>
      <sz val="12"/>
      <name val="Century Gothic"/>
      <family val="2"/>
    </font>
    <font>
      <vertAlign val="superscript"/>
      <sz val="12"/>
      <name val="Century Gothic"/>
      <family val="2"/>
    </font>
    <font>
      <b/>
      <sz val="12"/>
      <name val="Calibri"/>
      <family val="2"/>
      <charset val="161"/>
    </font>
    <font>
      <sz val="9"/>
      <name val="新細明體"/>
      <family val="3"/>
      <charset val="136"/>
      <scheme val="minor"/>
    </font>
    <font>
      <sz val="9"/>
      <name val="新細明體"/>
      <family val="2"/>
      <charset val="136"/>
      <scheme val="minor"/>
    </font>
  </fonts>
  <fills count="7">
    <fill>
      <patternFill patternType="none"/>
    </fill>
    <fill>
      <patternFill patternType="gray125"/>
    </fill>
    <fill>
      <patternFill patternType="solid">
        <fgColor indexed="43"/>
        <bgColor indexed="64"/>
      </patternFill>
    </fill>
    <fill>
      <patternFill patternType="solid">
        <fgColor rgb="FFFFFF00"/>
        <bgColor indexed="64"/>
      </patternFill>
    </fill>
    <fill>
      <patternFill patternType="solid">
        <fgColor indexed="42"/>
        <bgColor indexed="64"/>
      </patternFill>
    </fill>
    <fill>
      <patternFill patternType="solid">
        <fgColor rgb="FF92D050"/>
        <bgColor indexed="64"/>
      </patternFill>
    </fill>
    <fill>
      <patternFill patternType="solid">
        <fgColor rgb="FF00B050"/>
        <bgColor indexed="64"/>
      </patternFill>
    </fill>
  </fills>
  <borders count="4">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5">
    <xf numFmtId="0" fontId="0"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alignment vertical="center"/>
    </xf>
  </cellStyleXfs>
  <cellXfs count="94">
    <xf numFmtId="0" fontId="0" fillId="0" borderId="0" xfId="0"/>
    <xf numFmtId="0" fontId="2" fillId="0" borderId="0" xfId="0" applyFont="1"/>
    <xf numFmtId="0" fontId="3" fillId="0" borderId="0" xfId="0" applyFont="1"/>
    <xf numFmtId="0" fontId="7" fillId="0" borderId="0" xfId="0" applyFont="1"/>
    <xf numFmtId="0" fontId="2" fillId="0" borderId="0" xfId="0" applyFont="1" applyAlignment="1">
      <alignment vertical="center"/>
    </xf>
    <xf numFmtId="0" fontId="12" fillId="0" borderId="0" xfId="0" applyFont="1"/>
    <xf numFmtId="9" fontId="3" fillId="0" borderId="0" xfId="1" applyFont="1"/>
    <xf numFmtId="0" fontId="12" fillId="0" borderId="0" xfId="0" applyFont="1" applyAlignment="1">
      <alignment wrapText="1"/>
    </xf>
    <xf numFmtId="0" fontId="13" fillId="0" borderId="0" xfId="0" applyFont="1"/>
    <xf numFmtId="0" fontId="3" fillId="0" borderId="0" xfId="0" applyFont="1" applyAlignment="1">
      <alignment vertical="center"/>
    </xf>
    <xf numFmtId="0" fontId="0" fillId="0" borderId="0" xfId="0" applyAlignment="1">
      <alignment vertical="center"/>
    </xf>
    <xf numFmtId="43" fontId="3" fillId="0" borderId="0" xfId="0" applyNumberFormat="1" applyFont="1" applyAlignment="1">
      <alignment vertical="center"/>
    </xf>
    <xf numFmtId="176" fontId="3" fillId="0" borderId="0" xfId="0" applyNumberFormat="1" applyFont="1" applyAlignment="1">
      <alignment vertical="center"/>
    </xf>
    <xf numFmtId="0" fontId="2" fillId="0" borderId="0" xfId="0" applyFont="1" applyAlignment="1">
      <alignment horizontal="justify" vertical="center"/>
    </xf>
    <xf numFmtId="177" fontId="3" fillId="0" borderId="0" xfId="0" applyNumberFormat="1" applyFont="1" applyAlignment="1">
      <alignment vertical="center"/>
    </xf>
    <xf numFmtId="177" fontId="3" fillId="0" borderId="0" xfId="2" applyNumberFormat="1" applyFont="1" applyAlignment="1">
      <alignment vertical="center"/>
    </xf>
    <xf numFmtId="43" fontId="3" fillId="0" borderId="0" xfId="2" applyFont="1" applyAlignment="1">
      <alignment vertical="center"/>
    </xf>
    <xf numFmtId="0" fontId="3" fillId="0" borderId="0" xfId="0" applyFont="1" applyAlignment="1">
      <alignment horizontal="justify" vertical="center"/>
    </xf>
    <xf numFmtId="178" fontId="3" fillId="0" borderId="0" xfId="0" applyNumberFormat="1" applyFont="1" applyAlignment="1">
      <alignment horizontal="center" vertical="center"/>
    </xf>
    <xf numFmtId="179" fontId="3" fillId="0" borderId="0" xfId="0" applyNumberFormat="1" applyFont="1" applyAlignment="1">
      <alignment horizontal="center" vertical="center"/>
    </xf>
    <xf numFmtId="0" fontId="2" fillId="0" borderId="0" xfId="0" applyFont="1" applyAlignment="1">
      <alignment horizontal="center" vertical="center"/>
    </xf>
    <xf numFmtId="178" fontId="3" fillId="0" borderId="2" xfId="0" applyNumberFormat="1" applyFont="1" applyBorder="1" applyAlignment="1">
      <alignment horizontal="center" vertical="center"/>
    </xf>
    <xf numFmtId="179" fontId="3" fillId="0" borderId="2" xfId="0" applyNumberFormat="1" applyFont="1" applyBorder="1" applyAlignment="1">
      <alignment horizontal="center" vertical="center"/>
    </xf>
    <xf numFmtId="0" fontId="2" fillId="0" borderId="2" xfId="0" applyFont="1" applyBorder="1" applyAlignment="1">
      <alignment horizontal="center" vertical="center"/>
    </xf>
    <xf numFmtId="0" fontId="3" fillId="3" borderId="0" xfId="0" applyFont="1" applyFill="1" applyAlignment="1">
      <alignment vertical="center"/>
    </xf>
    <xf numFmtId="177" fontId="3" fillId="0" borderId="1" xfId="2" applyNumberFormat="1" applyFont="1" applyBorder="1" applyAlignment="1">
      <alignment vertical="center"/>
    </xf>
    <xf numFmtId="178" fontId="3" fillId="0" borderId="0" xfId="0" applyNumberFormat="1" applyFont="1" applyAlignment="1">
      <alignment vertical="center"/>
    </xf>
    <xf numFmtId="43" fontId="3" fillId="0" borderId="0" xfId="2" applyFont="1" applyBorder="1" applyAlignment="1">
      <alignment horizontal="center" vertical="center"/>
    </xf>
    <xf numFmtId="43" fontId="3" fillId="0" borderId="2" xfId="2" applyFont="1" applyBorder="1" applyAlignment="1">
      <alignment horizontal="center" vertical="center"/>
    </xf>
    <xf numFmtId="0" fontId="3" fillId="0" borderId="2" xfId="0" applyFont="1" applyBorder="1" applyAlignment="1">
      <alignment horizontal="center" vertical="center"/>
    </xf>
    <xf numFmtId="0" fontId="2" fillId="0" borderId="2" xfId="0" applyFont="1" applyBorder="1" applyAlignment="1">
      <alignment vertical="center"/>
    </xf>
    <xf numFmtId="0" fontId="3" fillId="0" borderId="0" xfId="0" applyFont="1" applyAlignment="1">
      <alignment horizontal="center" vertical="center"/>
    </xf>
    <xf numFmtId="43" fontId="3" fillId="3" borderId="2" xfId="2" applyFont="1" applyFill="1" applyBorder="1" applyAlignment="1">
      <alignment horizontal="center" vertical="center"/>
    </xf>
    <xf numFmtId="0" fontId="2" fillId="3" borderId="2" xfId="0" applyFont="1" applyFill="1" applyBorder="1" applyAlignment="1">
      <alignment horizontal="center" vertical="center"/>
    </xf>
    <xf numFmtId="0" fontId="2" fillId="0" borderId="3" xfId="0" applyFont="1" applyBorder="1" applyAlignment="1">
      <alignment horizontal="center" vertical="center"/>
    </xf>
    <xf numFmtId="43" fontId="3" fillId="3" borderId="2" xfId="0" applyNumberFormat="1" applyFont="1" applyFill="1" applyBorder="1" applyAlignment="1">
      <alignment vertical="center"/>
    </xf>
    <xf numFmtId="177" fontId="3" fillId="3" borderId="2" xfId="2" applyNumberFormat="1" applyFont="1" applyFill="1" applyBorder="1" applyAlignment="1">
      <alignment horizontal="center" vertical="center"/>
    </xf>
    <xf numFmtId="43" fontId="3" fillId="3" borderId="2" xfId="0" applyNumberFormat="1" applyFont="1" applyFill="1" applyBorder="1" applyAlignment="1">
      <alignment horizontal="center" vertical="center"/>
    </xf>
    <xf numFmtId="180" fontId="3" fillId="0" borderId="0" xfId="2" applyNumberFormat="1" applyFont="1" applyBorder="1" applyAlignment="1">
      <alignment vertical="center"/>
    </xf>
    <xf numFmtId="181" fontId="3" fillId="0" borderId="0" xfId="0" applyNumberFormat="1" applyFont="1" applyAlignment="1">
      <alignment vertical="center"/>
    </xf>
    <xf numFmtId="177" fontId="3" fillId="2" borderId="1" xfId="2" applyNumberFormat="1" applyFont="1" applyFill="1" applyBorder="1" applyAlignment="1">
      <alignment vertical="center"/>
    </xf>
    <xf numFmtId="177" fontId="3" fillId="4" borderId="0" xfId="2" applyNumberFormat="1" applyFont="1" applyFill="1" applyAlignment="1">
      <alignment vertical="center"/>
    </xf>
    <xf numFmtId="0" fontId="2" fillId="4" borderId="0" xfId="0" applyFont="1" applyFill="1" applyAlignment="1">
      <alignment vertical="center"/>
    </xf>
    <xf numFmtId="177" fontId="3" fillId="2" borderId="0" xfId="2" applyNumberFormat="1" applyFont="1" applyFill="1" applyAlignment="1">
      <alignment vertical="center"/>
    </xf>
    <xf numFmtId="0" fontId="2" fillId="2" borderId="0" xfId="0" applyFont="1" applyFill="1" applyAlignment="1">
      <alignment vertical="center"/>
    </xf>
    <xf numFmtId="180" fontId="3" fillId="0" borderId="0" xfId="2" applyNumberFormat="1" applyFont="1" applyAlignment="1">
      <alignment vertical="center"/>
    </xf>
    <xf numFmtId="0" fontId="3" fillId="5" borderId="0" xfId="0" applyFont="1" applyFill="1" applyAlignment="1">
      <alignment vertical="center"/>
    </xf>
    <xf numFmtId="0" fontId="2" fillId="5" borderId="0" xfId="0" applyFont="1" applyFill="1" applyAlignment="1">
      <alignment vertical="center"/>
    </xf>
    <xf numFmtId="182" fontId="3" fillId="0" borderId="0" xfId="0" applyNumberFormat="1" applyFont="1" applyAlignment="1">
      <alignment vertical="center"/>
    </xf>
    <xf numFmtId="183" fontId="3" fillId="0" borderId="0" xfId="0" applyNumberFormat="1" applyFont="1" applyAlignment="1">
      <alignment vertical="center"/>
    </xf>
    <xf numFmtId="184" fontId="3" fillId="3" borderId="0" xfId="0" applyNumberFormat="1" applyFont="1" applyFill="1" applyAlignment="1">
      <alignment vertical="center"/>
    </xf>
    <xf numFmtId="0" fontId="3" fillId="6" borderId="0" xfId="0" applyFont="1" applyFill="1" applyAlignment="1">
      <alignment vertical="center"/>
    </xf>
    <xf numFmtId="0" fontId="2" fillId="6" borderId="0" xfId="0" applyFont="1" applyFill="1" applyAlignment="1">
      <alignment vertical="center"/>
    </xf>
    <xf numFmtId="185" fontId="3" fillId="0" borderId="0" xfId="2" applyNumberFormat="1" applyFont="1" applyAlignment="1">
      <alignment vertical="center"/>
    </xf>
    <xf numFmtId="43" fontId="3" fillId="3" borderId="0" xfId="2" applyFont="1" applyFill="1" applyAlignment="1">
      <alignment vertical="center"/>
    </xf>
    <xf numFmtId="0" fontId="2" fillId="3" borderId="0" xfId="0" applyFont="1" applyFill="1" applyAlignment="1">
      <alignment vertical="center"/>
    </xf>
    <xf numFmtId="177" fontId="3" fillId="3" borderId="0" xfId="2" applyNumberFormat="1" applyFont="1" applyFill="1" applyAlignment="1">
      <alignment vertical="center"/>
    </xf>
    <xf numFmtId="0" fontId="3" fillId="0" borderId="0" xfId="0" applyFont="1" applyAlignment="1">
      <alignment wrapText="1"/>
    </xf>
    <xf numFmtId="43" fontId="3" fillId="0" borderId="0" xfId="0" applyNumberFormat="1" applyFont="1"/>
    <xf numFmtId="43" fontId="7" fillId="0" borderId="0" xfId="0" applyNumberFormat="1" applyFont="1"/>
    <xf numFmtId="43" fontId="3" fillId="0" borderId="0" xfId="2" applyFont="1"/>
    <xf numFmtId="43" fontId="7" fillId="0" borderId="0" xfId="2" applyFont="1"/>
    <xf numFmtId="177" fontId="7" fillId="0" borderId="0" xfId="2" applyNumberFormat="1" applyFont="1"/>
    <xf numFmtId="177" fontId="3" fillId="0" borderId="0" xfId="2" applyNumberFormat="1" applyFont="1"/>
    <xf numFmtId="43" fontId="7" fillId="0" borderId="0" xfId="2" applyFont="1" applyAlignment="1"/>
    <xf numFmtId="9" fontId="7" fillId="0" borderId="0" xfId="1" applyFont="1"/>
    <xf numFmtId="0" fontId="2" fillId="3" borderId="0" xfId="0" applyFont="1" applyFill="1"/>
    <xf numFmtId="43" fontId="3" fillId="2" borderId="0" xfId="3" applyNumberFormat="1" applyFont="1" applyFill="1" applyAlignment="1">
      <alignment vertical="center"/>
    </xf>
    <xf numFmtId="182" fontId="3" fillId="4" borderId="0" xfId="3" applyNumberFormat="1" applyFont="1" applyFill="1" applyAlignment="1">
      <alignment vertical="center"/>
    </xf>
    <xf numFmtId="176" fontId="3" fillId="0" borderId="0" xfId="3" applyNumberFormat="1" applyFont="1" applyAlignment="1">
      <alignment vertical="center"/>
    </xf>
    <xf numFmtId="43" fontId="3" fillId="0" borderId="0" xfId="3" applyNumberFormat="1" applyFont="1" applyAlignment="1">
      <alignment vertical="center"/>
    </xf>
    <xf numFmtId="0" fontId="2" fillId="3" borderId="2" xfId="3" applyFont="1" applyFill="1" applyBorder="1" applyAlignment="1">
      <alignment horizontal="center" vertical="center"/>
    </xf>
    <xf numFmtId="0" fontId="2" fillId="0" borderId="2" xfId="3" applyFont="1" applyBorder="1" applyAlignment="1">
      <alignment horizontal="center" vertical="center"/>
    </xf>
    <xf numFmtId="43" fontId="3" fillId="0" borderId="2" xfId="2" applyFont="1" applyFill="1" applyBorder="1" applyAlignment="1">
      <alignment horizontal="center" vertical="center"/>
    </xf>
    <xf numFmtId="43" fontId="3" fillId="3" borderId="2" xfId="4" applyFont="1" applyFill="1" applyBorder="1" applyAlignment="1">
      <alignment vertical="center"/>
    </xf>
    <xf numFmtId="0" fontId="12" fillId="0" borderId="0" xfId="0" applyFont="1" applyAlignment="1">
      <alignment vertical="center"/>
    </xf>
    <xf numFmtId="0" fontId="3" fillId="0" borderId="2" xfId="0" applyFont="1" applyBorder="1" applyAlignment="1">
      <alignment horizontal="center" vertical="center"/>
    </xf>
    <xf numFmtId="9" fontId="3" fillId="0" borderId="0" xfId="1" applyFont="1" applyAlignment="1">
      <alignment vertical="center"/>
    </xf>
    <xf numFmtId="49" fontId="7" fillId="0" borderId="0" xfId="0" applyNumberFormat="1" applyFont="1" applyAlignment="1">
      <alignment vertical="center"/>
    </xf>
    <xf numFmtId="43" fontId="7" fillId="0" borderId="0" xfId="4" applyFont="1">
      <alignment vertical="center"/>
    </xf>
    <xf numFmtId="185" fontId="7" fillId="0" borderId="0" xfId="4" applyNumberFormat="1" applyFont="1">
      <alignment vertical="center"/>
    </xf>
    <xf numFmtId="43" fontId="7" fillId="0" borderId="0" xfId="4" applyFont="1" applyFill="1">
      <alignment vertical="center"/>
    </xf>
    <xf numFmtId="185" fontId="7" fillId="0" borderId="0" xfId="4" applyNumberFormat="1" applyFont="1" applyFill="1">
      <alignment vertical="center"/>
    </xf>
    <xf numFmtId="0" fontId="7" fillId="0" borderId="0" xfId="0" applyFont="1" applyAlignment="1">
      <alignment vertical="center"/>
    </xf>
    <xf numFmtId="177" fontId="7" fillId="0" borderId="0" xfId="4" applyNumberFormat="1" applyFont="1">
      <alignment vertical="center"/>
    </xf>
    <xf numFmtId="43" fontId="3" fillId="0" borderId="0" xfId="4" applyFont="1" applyBorder="1" applyAlignment="1">
      <alignment vertical="center"/>
    </xf>
    <xf numFmtId="177" fontId="3" fillId="0" borderId="0" xfId="4" applyNumberFormat="1" applyFont="1" applyBorder="1" applyAlignment="1">
      <alignment vertical="center"/>
    </xf>
    <xf numFmtId="177" fontId="3" fillId="0" borderId="0" xfId="4" applyNumberFormat="1" applyFont="1">
      <alignment vertical="center"/>
    </xf>
    <xf numFmtId="43" fontId="3" fillId="0" borderId="0" xfId="4" applyFont="1">
      <alignment vertical="center"/>
    </xf>
    <xf numFmtId="49" fontId="3" fillId="0" borderId="0" xfId="0" applyNumberFormat="1" applyFont="1" applyAlignment="1">
      <alignment vertical="center"/>
    </xf>
    <xf numFmtId="180" fontId="3" fillId="0" borderId="0" xfId="4" applyNumberFormat="1" applyFont="1" applyAlignment="1">
      <alignment vertical="center"/>
    </xf>
    <xf numFmtId="43" fontId="3" fillId="0" borderId="0" xfId="4" applyFont="1" applyAlignment="1">
      <alignment vertical="center"/>
    </xf>
    <xf numFmtId="0" fontId="3" fillId="0" borderId="2" xfId="0" applyFont="1" applyBorder="1" applyAlignment="1">
      <alignment horizontal="center" vertical="center"/>
    </xf>
    <xf numFmtId="177" fontId="3" fillId="0" borderId="0" xfId="4" applyNumberFormat="1" applyFont="1" applyAlignment="1">
      <alignment vertical="center"/>
    </xf>
  </cellXfs>
  <cellStyles count="5">
    <cellStyle name="一般" xfId="0" builtinId="0"/>
    <cellStyle name="一般 2" xfId="3" xr:uid="{22E595A3-64C6-4305-A196-6C9173D432A9}"/>
    <cellStyle name="千分位" xfId="4" builtinId="3"/>
    <cellStyle name="千分位 2" xfId="2" xr:uid="{C0FF6E5E-9870-4F34-89B0-3D82E8563AE9}"/>
    <cellStyle name="百分比" xfId="1" builtinId="5"/>
  </cellStyles>
  <dxfs count="28">
    <dxf>
      <font>
        <condense val="0"/>
        <extend val="0"/>
        <color auto="1"/>
      </font>
      <fill>
        <patternFill>
          <bgColor indexed="10"/>
        </patternFill>
      </fill>
    </dxf>
    <dxf>
      <font>
        <condense val="0"/>
        <extend val="0"/>
        <color auto="1"/>
      </font>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ont>
        <condense val="0"/>
        <extend val="0"/>
        <color auto="1"/>
      </font>
      <fill>
        <patternFill>
          <bgColor indexed="11"/>
        </patternFill>
      </fill>
    </dxf>
    <dxf>
      <font>
        <condense val="0"/>
        <extend val="0"/>
        <color auto="1"/>
      </font>
      <fill>
        <patternFill>
          <bgColor indexed="10"/>
        </patternFill>
      </fill>
    </dxf>
    <dxf>
      <font>
        <condense val="0"/>
        <extend val="0"/>
        <color auto="1"/>
      </font>
      <fill>
        <patternFill>
          <bgColor indexed="11"/>
        </patternFill>
      </fill>
    </dxf>
    <dxf>
      <font>
        <condense val="0"/>
        <extend val="0"/>
        <color auto="1"/>
      </font>
      <fill>
        <patternFill>
          <bgColor indexed="10"/>
        </patternFill>
      </fill>
    </dxf>
    <dxf>
      <font>
        <condense val="0"/>
        <extend val="0"/>
        <color auto="1"/>
      </font>
      <fill>
        <patternFill>
          <bgColor indexed="10"/>
        </patternFill>
      </fill>
    </dxf>
    <dxf>
      <font>
        <condense val="0"/>
        <extend val="0"/>
        <color auto="1"/>
      </font>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ont>
        <condense val="0"/>
        <extend val="0"/>
        <color auto="1"/>
      </font>
      <fill>
        <patternFill>
          <bgColor indexed="11"/>
        </patternFill>
      </fill>
    </dxf>
    <dxf>
      <font>
        <condense val="0"/>
        <extend val="0"/>
        <color auto="1"/>
      </font>
      <fill>
        <patternFill>
          <bgColor indexed="10"/>
        </patternFill>
      </fill>
    </dxf>
    <dxf>
      <font>
        <condense val="0"/>
        <extend val="0"/>
        <color auto="1"/>
      </font>
      <fill>
        <patternFill>
          <bgColor indexed="11"/>
        </patternFill>
      </fill>
    </dxf>
    <dxf>
      <font>
        <condense val="0"/>
        <extend val="0"/>
        <color auto="1"/>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vmlDrawing1.vml.rels><?xml version="1.0" encoding="UTF-8" standalone="yes"?>
<Relationships xmlns="http://schemas.openxmlformats.org/package/2006/relationships"><Relationship Id="rId8" Type="http://schemas.openxmlformats.org/officeDocument/2006/relationships/image" Target="../media/image8.wmf"/><Relationship Id="rId13" Type="http://schemas.openxmlformats.org/officeDocument/2006/relationships/image" Target="../media/image13.wmf"/><Relationship Id="rId3" Type="http://schemas.openxmlformats.org/officeDocument/2006/relationships/image" Target="../media/image3.wmf"/><Relationship Id="rId7" Type="http://schemas.openxmlformats.org/officeDocument/2006/relationships/image" Target="../media/image7.wmf"/><Relationship Id="rId12" Type="http://schemas.openxmlformats.org/officeDocument/2006/relationships/image" Target="../media/image12.emf"/><Relationship Id="rId2" Type="http://schemas.openxmlformats.org/officeDocument/2006/relationships/image" Target="../media/image2.wmf"/><Relationship Id="rId1" Type="http://schemas.openxmlformats.org/officeDocument/2006/relationships/image" Target="../media/image1.wmf"/><Relationship Id="rId6" Type="http://schemas.openxmlformats.org/officeDocument/2006/relationships/image" Target="../media/image6.wmf"/><Relationship Id="rId11" Type="http://schemas.openxmlformats.org/officeDocument/2006/relationships/image" Target="../media/image11.emf"/><Relationship Id="rId5" Type="http://schemas.openxmlformats.org/officeDocument/2006/relationships/image" Target="../media/image5.wmf"/><Relationship Id="rId10" Type="http://schemas.openxmlformats.org/officeDocument/2006/relationships/image" Target="../media/image10.emf"/><Relationship Id="rId4" Type="http://schemas.openxmlformats.org/officeDocument/2006/relationships/image" Target="../media/image4.wmf"/><Relationship Id="rId9" Type="http://schemas.openxmlformats.org/officeDocument/2006/relationships/image" Target="../media/image9.wmf"/></Relationships>
</file>

<file path=xl/drawings/_rels/vmlDrawing2.vml.rels><?xml version="1.0" encoding="UTF-8" standalone="yes"?>
<Relationships xmlns="http://schemas.openxmlformats.org/package/2006/relationships"><Relationship Id="rId8" Type="http://schemas.openxmlformats.org/officeDocument/2006/relationships/image" Target="../media/image8.wmf"/><Relationship Id="rId13" Type="http://schemas.openxmlformats.org/officeDocument/2006/relationships/image" Target="../media/image13.wmf"/><Relationship Id="rId3" Type="http://schemas.openxmlformats.org/officeDocument/2006/relationships/image" Target="../media/image3.wmf"/><Relationship Id="rId7" Type="http://schemas.openxmlformats.org/officeDocument/2006/relationships/image" Target="../media/image7.wmf"/><Relationship Id="rId12" Type="http://schemas.openxmlformats.org/officeDocument/2006/relationships/image" Target="../media/image12.emf"/><Relationship Id="rId2" Type="http://schemas.openxmlformats.org/officeDocument/2006/relationships/image" Target="../media/image2.wmf"/><Relationship Id="rId1" Type="http://schemas.openxmlformats.org/officeDocument/2006/relationships/image" Target="../media/image1.wmf"/><Relationship Id="rId6" Type="http://schemas.openxmlformats.org/officeDocument/2006/relationships/image" Target="../media/image6.wmf"/><Relationship Id="rId11" Type="http://schemas.openxmlformats.org/officeDocument/2006/relationships/image" Target="../media/image11.emf"/><Relationship Id="rId5" Type="http://schemas.openxmlformats.org/officeDocument/2006/relationships/image" Target="../media/image5.wmf"/><Relationship Id="rId10" Type="http://schemas.openxmlformats.org/officeDocument/2006/relationships/image" Target="../media/image10.emf"/><Relationship Id="rId4" Type="http://schemas.openxmlformats.org/officeDocument/2006/relationships/image" Target="../media/image4.wmf"/><Relationship Id="rId9" Type="http://schemas.openxmlformats.org/officeDocument/2006/relationships/image" Target="../media/image9.w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259080</xdr:colOff>
          <xdr:row>143</xdr:row>
          <xdr:rowOff>0</xdr:rowOff>
        </xdr:from>
        <xdr:to>
          <xdr:col>0</xdr:col>
          <xdr:colOff>693420</xdr:colOff>
          <xdr:row>143</xdr:row>
          <xdr:rowOff>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000-000001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60960</xdr:colOff>
          <xdr:row>130</xdr:row>
          <xdr:rowOff>114300</xdr:rowOff>
        </xdr:from>
        <xdr:to>
          <xdr:col>1</xdr:col>
          <xdr:colOff>510540</xdr:colOff>
          <xdr:row>131</xdr:row>
          <xdr:rowOff>106680</xdr:rowOff>
        </xdr:to>
        <xdr:sp macro="" textlink="">
          <xdr:nvSpPr>
            <xdr:cNvPr id="6146" name="Object 2" hidden="1">
              <a:extLst>
                <a:ext uri="{63B3BB69-23CF-44E3-9099-C40C66FF867C}">
                  <a14:compatExt spid="_x0000_s6146"/>
                </a:ext>
                <a:ext uri="{FF2B5EF4-FFF2-40B4-BE49-F238E27FC236}">
                  <a16:creationId xmlns:a16="http://schemas.microsoft.com/office/drawing/2014/main" id="{00000000-0008-0000-0000-000002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60960</xdr:colOff>
          <xdr:row>134</xdr:row>
          <xdr:rowOff>15240</xdr:rowOff>
        </xdr:from>
        <xdr:to>
          <xdr:col>1</xdr:col>
          <xdr:colOff>266700</xdr:colOff>
          <xdr:row>136</xdr:row>
          <xdr:rowOff>68580</xdr:rowOff>
        </xdr:to>
        <xdr:sp macro="" textlink="">
          <xdr:nvSpPr>
            <xdr:cNvPr id="6147" name="Object 3" hidden="1">
              <a:extLst>
                <a:ext uri="{63B3BB69-23CF-44E3-9099-C40C66FF867C}">
                  <a14:compatExt spid="_x0000_s6147"/>
                </a:ext>
                <a:ext uri="{FF2B5EF4-FFF2-40B4-BE49-F238E27FC236}">
                  <a16:creationId xmlns:a16="http://schemas.microsoft.com/office/drawing/2014/main" id="{00000000-0008-0000-0000-000003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22860</xdr:colOff>
          <xdr:row>146</xdr:row>
          <xdr:rowOff>15240</xdr:rowOff>
        </xdr:from>
        <xdr:to>
          <xdr:col>0</xdr:col>
          <xdr:colOff>594360</xdr:colOff>
          <xdr:row>148</xdr:row>
          <xdr:rowOff>7620</xdr:rowOff>
        </xdr:to>
        <xdr:sp macro="" textlink="">
          <xdr:nvSpPr>
            <xdr:cNvPr id="6148" name="Object 4" hidden="1">
              <a:extLst>
                <a:ext uri="{63B3BB69-23CF-44E3-9099-C40C66FF867C}">
                  <a14:compatExt spid="_x0000_s6148"/>
                </a:ext>
                <a:ext uri="{FF2B5EF4-FFF2-40B4-BE49-F238E27FC236}">
                  <a16:creationId xmlns:a16="http://schemas.microsoft.com/office/drawing/2014/main" id="{00000000-0008-0000-0000-000004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xdr:colOff>
          <xdr:row>149</xdr:row>
          <xdr:rowOff>0</xdr:rowOff>
        </xdr:from>
        <xdr:to>
          <xdr:col>0</xdr:col>
          <xdr:colOff>678180</xdr:colOff>
          <xdr:row>149</xdr:row>
          <xdr:rowOff>15240</xdr:rowOff>
        </xdr:to>
        <xdr:sp macro="" textlink="">
          <xdr:nvSpPr>
            <xdr:cNvPr id="6149" name="Object 5" hidden="1">
              <a:extLst>
                <a:ext uri="{63B3BB69-23CF-44E3-9099-C40C66FF867C}">
                  <a14:compatExt spid="_x0000_s6149"/>
                </a:ext>
                <a:ext uri="{FF2B5EF4-FFF2-40B4-BE49-F238E27FC236}">
                  <a16:creationId xmlns:a16="http://schemas.microsoft.com/office/drawing/2014/main" id="{00000000-0008-0000-0000-000005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53340</xdr:colOff>
          <xdr:row>89</xdr:row>
          <xdr:rowOff>15240</xdr:rowOff>
        </xdr:from>
        <xdr:to>
          <xdr:col>0</xdr:col>
          <xdr:colOff>944880</xdr:colOff>
          <xdr:row>91</xdr:row>
          <xdr:rowOff>0</xdr:rowOff>
        </xdr:to>
        <xdr:sp macro="" textlink="">
          <xdr:nvSpPr>
            <xdr:cNvPr id="6150" name="Object 6" hidden="1">
              <a:extLst>
                <a:ext uri="{63B3BB69-23CF-44E3-9099-C40C66FF867C}">
                  <a14:compatExt spid="_x0000_s6150"/>
                </a:ext>
                <a:ext uri="{FF2B5EF4-FFF2-40B4-BE49-F238E27FC236}">
                  <a16:creationId xmlns:a16="http://schemas.microsoft.com/office/drawing/2014/main" id="{00000000-0008-0000-0000-000006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xdr:colOff>
          <xdr:row>84</xdr:row>
          <xdr:rowOff>22860</xdr:rowOff>
        </xdr:from>
        <xdr:to>
          <xdr:col>0</xdr:col>
          <xdr:colOff>434340</xdr:colOff>
          <xdr:row>86</xdr:row>
          <xdr:rowOff>0</xdr:rowOff>
        </xdr:to>
        <xdr:sp macro="" textlink="">
          <xdr:nvSpPr>
            <xdr:cNvPr id="6151" name="Object 7" hidden="1">
              <a:extLst>
                <a:ext uri="{63B3BB69-23CF-44E3-9099-C40C66FF867C}">
                  <a14:compatExt spid="_x0000_s6151"/>
                </a:ext>
                <a:ext uri="{FF2B5EF4-FFF2-40B4-BE49-F238E27FC236}">
                  <a16:creationId xmlns:a16="http://schemas.microsoft.com/office/drawing/2014/main" id="{00000000-0008-0000-0000-000007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xdr:colOff>
          <xdr:row>104</xdr:row>
          <xdr:rowOff>7620</xdr:rowOff>
        </xdr:from>
        <xdr:to>
          <xdr:col>0</xdr:col>
          <xdr:colOff>746760</xdr:colOff>
          <xdr:row>105</xdr:row>
          <xdr:rowOff>144780</xdr:rowOff>
        </xdr:to>
        <xdr:sp macro="" textlink="">
          <xdr:nvSpPr>
            <xdr:cNvPr id="6152" name="Object 8" hidden="1">
              <a:extLst>
                <a:ext uri="{63B3BB69-23CF-44E3-9099-C40C66FF867C}">
                  <a14:compatExt spid="_x0000_s6152"/>
                </a:ext>
                <a:ext uri="{FF2B5EF4-FFF2-40B4-BE49-F238E27FC236}">
                  <a16:creationId xmlns:a16="http://schemas.microsoft.com/office/drawing/2014/main" id="{00000000-0008-0000-0000-000008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22860</xdr:colOff>
          <xdr:row>102</xdr:row>
          <xdr:rowOff>15240</xdr:rowOff>
        </xdr:from>
        <xdr:to>
          <xdr:col>0</xdr:col>
          <xdr:colOff>655320</xdr:colOff>
          <xdr:row>103</xdr:row>
          <xdr:rowOff>160020</xdr:rowOff>
        </xdr:to>
        <xdr:sp macro="" textlink="">
          <xdr:nvSpPr>
            <xdr:cNvPr id="6153" name="Object 9" hidden="1">
              <a:extLst>
                <a:ext uri="{63B3BB69-23CF-44E3-9099-C40C66FF867C}">
                  <a14:compatExt spid="_x0000_s6153"/>
                </a:ext>
                <a:ext uri="{FF2B5EF4-FFF2-40B4-BE49-F238E27FC236}">
                  <a16:creationId xmlns:a16="http://schemas.microsoft.com/office/drawing/2014/main" id="{00000000-0008-0000-0000-000009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22860</xdr:colOff>
          <xdr:row>120</xdr:row>
          <xdr:rowOff>15240</xdr:rowOff>
        </xdr:from>
        <xdr:to>
          <xdr:col>4</xdr:col>
          <xdr:colOff>281940</xdr:colOff>
          <xdr:row>122</xdr:row>
          <xdr:rowOff>30480</xdr:rowOff>
        </xdr:to>
        <xdr:sp macro="" textlink="">
          <xdr:nvSpPr>
            <xdr:cNvPr id="6154" name="Object 10" hidden="1">
              <a:extLst>
                <a:ext uri="{63B3BB69-23CF-44E3-9099-C40C66FF867C}">
                  <a14:compatExt spid="_x0000_s6154"/>
                </a:ext>
                <a:ext uri="{FF2B5EF4-FFF2-40B4-BE49-F238E27FC236}">
                  <a16:creationId xmlns:a16="http://schemas.microsoft.com/office/drawing/2014/main" id="{00000000-0008-0000-0000-00000A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22860</xdr:colOff>
          <xdr:row>58</xdr:row>
          <xdr:rowOff>15240</xdr:rowOff>
        </xdr:from>
        <xdr:to>
          <xdr:col>1</xdr:col>
          <xdr:colOff>327660</xdr:colOff>
          <xdr:row>60</xdr:row>
          <xdr:rowOff>15240</xdr:rowOff>
        </xdr:to>
        <xdr:sp macro="" textlink="">
          <xdr:nvSpPr>
            <xdr:cNvPr id="6155" name="Object 11" hidden="1">
              <a:extLst>
                <a:ext uri="{63B3BB69-23CF-44E3-9099-C40C66FF867C}">
                  <a14:compatExt spid="_x0000_s6155"/>
                </a:ext>
                <a:ext uri="{FF2B5EF4-FFF2-40B4-BE49-F238E27FC236}">
                  <a16:creationId xmlns:a16="http://schemas.microsoft.com/office/drawing/2014/main" id="{00000000-0008-0000-0000-00000B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7620</xdr:colOff>
          <xdr:row>116</xdr:row>
          <xdr:rowOff>15240</xdr:rowOff>
        </xdr:from>
        <xdr:to>
          <xdr:col>1</xdr:col>
          <xdr:colOff>0</xdr:colOff>
          <xdr:row>117</xdr:row>
          <xdr:rowOff>144780</xdr:rowOff>
        </xdr:to>
        <xdr:sp macro="" textlink="">
          <xdr:nvSpPr>
            <xdr:cNvPr id="6156" name="Object 12" hidden="1">
              <a:extLst>
                <a:ext uri="{63B3BB69-23CF-44E3-9099-C40C66FF867C}">
                  <a14:compatExt spid="_x0000_s6156"/>
                </a:ext>
                <a:ext uri="{FF2B5EF4-FFF2-40B4-BE49-F238E27FC236}">
                  <a16:creationId xmlns:a16="http://schemas.microsoft.com/office/drawing/2014/main" id="{00000000-0008-0000-0000-00000C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7620</xdr:colOff>
          <xdr:row>120</xdr:row>
          <xdr:rowOff>15240</xdr:rowOff>
        </xdr:from>
        <xdr:to>
          <xdr:col>1</xdr:col>
          <xdr:colOff>861060</xdr:colOff>
          <xdr:row>122</xdr:row>
          <xdr:rowOff>22860</xdr:rowOff>
        </xdr:to>
        <xdr:sp macro="" textlink="">
          <xdr:nvSpPr>
            <xdr:cNvPr id="6157" name="Object 13" hidden="1">
              <a:extLst>
                <a:ext uri="{63B3BB69-23CF-44E3-9099-C40C66FF867C}">
                  <a14:compatExt spid="_x0000_s6157"/>
                </a:ext>
                <a:ext uri="{FF2B5EF4-FFF2-40B4-BE49-F238E27FC236}">
                  <a16:creationId xmlns:a16="http://schemas.microsoft.com/office/drawing/2014/main" id="{00000000-0008-0000-0000-00000D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0</xdr:col>
      <xdr:colOff>366462</xdr:colOff>
      <xdr:row>11</xdr:row>
      <xdr:rowOff>29878</xdr:rowOff>
    </xdr:from>
    <xdr:ext cx="667182" cy="369971"/>
    <mc:AlternateContent xmlns:mc="http://schemas.openxmlformats.org/markup-compatibility/2006" xmlns:a14="http://schemas.microsoft.com/office/drawing/2010/main">
      <mc:Choice Requires="a14">
        <xdr:sp macro="" textlink="">
          <xdr:nvSpPr>
            <xdr:cNvPr id="2" name="文字方塊 1">
              <a:extLst>
                <a:ext uri="{FF2B5EF4-FFF2-40B4-BE49-F238E27FC236}">
                  <a16:creationId xmlns:a16="http://schemas.microsoft.com/office/drawing/2014/main" id="{00000000-0008-0000-0100-000002000000}"/>
                </a:ext>
              </a:extLst>
            </xdr:cNvPr>
            <xdr:cNvSpPr txBox="1"/>
          </xdr:nvSpPr>
          <xdr:spPr>
            <a:xfrm>
              <a:off x="362652" y="2466373"/>
              <a:ext cx="667182" cy="369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n-US" altLang="zh-TW" sz="1100" b="0" i="1">
                        <a:latin typeface="Cambria Math" panose="02040503050406030204" pitchFamily="18" charset="0"/>
                      </a:rPr>
                      <m:t>𝑖</m:t>
                    </m:r>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𝑁</m:t>
                            </m:r>
                          </m:e>
                          <m:sub>
                            <m:r>
                              <a:rPr lang="en-US" altLang="zh-TW" sz="1100" b="0" i="1">
                                <a:latin typeface="Cambria Math" panose="02040503050406030204" pitchFamily="18" charset="0"/>
                              </a:rPr>
                              <m:t>2</m:t>
                            </m:r>
                          </m:sub>
                        </m:sSub>
                      </m:num>
                      <m:den>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𝑁</m:t>
                            </m:r>
                          </m:e>
                          <m:sub>
                            <m:r>
                              <a:rPr lang="en-US" altLang="zh-TW" sz="1100" b="0" i="1">
                                <a:latin typeface="Cambria Math" panose="02040503050406030204" pitchFamily="18" charset="0"/>
                              </a:rPr>
                              <m:t>1</m:t>
                            </m:r>
                          </m:sub>
                        </m:sSub>
                      </m:den>
                    </m:f>
                  </m:oMath>
                </m:oMathPara>
              </a14:m>
              <a:endParaRPr lang="zh-TW" altLang="en-US" sz="1100"/>
            </a:p>
          </xdr:txBody>
        </xdr:sp>
      </mc:Choice>
      <mc:Fallback xmlns="">
        <xdr:sp macro="" textlink="">
          <xdr:nvSpPr>
            <xdr:cNvPr id="2" name="文字方塊 1">
              <a:extLst>
                <a:ext uri="{FF2B5EF4-FFF2-40B4-BE49-F238E27FC236}">
                  <a16:creationId xmlns:a16="http://schemas.microsoft.com/office/drawing/2014/main" id="{8E196231-2F86-444E-83DF-9BEFBB15F4B0}"/>
                </a:ext>
              </a:extLst>
            </xdr:cNvPr>
            <xdr:cNvSpPr txBox="1"/>
          </xdr:nvSpPr>
          <xdr:spPr>
            <a:xfrm>
              <a:off x="362652" y="2466373"/>
              <a:ext cx="667182" cy="369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altLang="zh-TW" sz="1100" b="0" i="0">
                  <a:latin typeface="Cambria Math" panose="02040503050406030204" pitchFamily="18" charset="0"/>
                </a:rPr>
                <a:t>𝑖=𝑁_2/𝑁_1 </a:t>
              </a:r>
              <a:endParaRPr lang="zh-TW" altLang="en-US" sz="1100"/>
            </a:p>
          </xdr:txBody>
        </xdr:sp>
      </mc:Fallback>
    </mc:AlternateContent>
    <xdr:clientData/>
  </xdr:oneCellAnchor>
  <xdr:oneCellAnchor>
    <xdr:from>
      <xdr:col>5</xdr:col>
      <xdr:colOff>263893</xdr:colOff>
      <xdr:row>15</xdr:row>
      <xdr:rowOff>18447</xdr:rowOff>
    </xdr:from>
    <xdr:ext cx="1711292" cy="364395"/>
    <mc:AlternateContent xmlns:mc="http://schemas.openxmlformats.org/markup-compatibility/2006" xmlns:a14="http://schemas.microsoft.com/office/drawing/2010/main">
      <mc:Choice Requires="a14">
        <xdr:sp macro="" textlink="">
          <xdr:nvSpPr>
            <xdr:cNvPr id="3" name="文字方塊 2">
              <a:extLst>
                <a:ext uri="{FF2B5EF4-FFF2-40B4-BE49-F238E27FC236}">
                  <a16:creationId xmlns:a16="http://schemas.microsoft.com/office/drawing/2014/main" id="{00000000-0008-0000-0100-000003000000}"/>
                </a:ext>
              </a:extLst>
            </xdr:cNvPr>
            <xdr:cNvSpPr txBox="1"/>
          </xdr:nvSpPr>
          <xdr:spPr>
            <a:xfrm>
              <a:off x="4931143" y="3270282"/>
              <a:ext cx="1711292" cy="364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𝑑𝑟𝑖𝑣𝑒</m:t>
                        </m:r>
                      </m:sub>
                    </m:sSub>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𝐹</m:t>
                            </m:r>
                          </m:e>
                          <m:sub>
                            <m:r>
                              <a:rPr lang="en-US" altLang="zh-TW" sz="1100" b="0" i="1">
                                <a:solidFill>
                                  <a:schemeClr val="tx1"/>
                                </a:solidFill>
                                <a:effectLst/>
                                <a:latin typeface="Cambria Math" panose="02040503050406030204" pitchFamily="18" charset="0"/>
                                <a:ea typeface="+mn-ea"/>
                                <a:cs typeface="+mn-cs"/>
                              </a:rPr>
                              <m:t>𝑎𝑥𝑖𝑎𝑙</m:t>
                            </m:r>
                          </m:sub>
                        </m:sSub>
                        <m:r>
                          <a:rPr lang="en-US" altLang="zh-TW" sz="1100" b="0" i="1">
                            <a:solidFill>
                              <a:schemeClr val="tx1"/>
                            </a:solidFill>
                            <a:effectLst/>
                            <a:latin typeface="Cambria Math" panose="02040503050406030204" pitchFamily="18" charset="0"/>
                            <a:ea typeface="+mn-ea"/>
                            <a:cs typeface="+mn-cs"/>
                          </a:rPr>
                          <m:t>∗</m:t>
                        </m:r>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𝑃</m:t>
                            </m:r>
                          </m:e>
                          <m:sub>
                            <m:r>
                              <a:rPr lang="en-US" altLang="zh-TW" sz="1100" b="0" i="1">
                                <a:solidFill>
                                  <a:schemeClr val="tx1"/>
                                </a:solidFill>
                                <a:effectLst/>
                                <a:latin typeface="Cambria Math" panose="02040503050406030204" pitchFamily="18" charset="0"/>
                                <a:ea typeface="+mn-ea"/>
                                <a:cs typeface="+mn-cs"/>
                              </a:rPr>
                              <m:t>h</m:t>
                            </m:r>
                          </m:sub>
                        </m:sSub>
                      </m:num>
                      <m:den>
                        <m:r>
                          <a:rPr lang="en-US" altLang="zh-TW" sz="1100" b="0" i="1">
                            <a:solidFill>
                              <a:schemeClr val="tx1"/>
                            </a:solidFill>
                            <a:effectLst/>
                            <a:latin typeface="Cambria Math" panose="02040503050406030204" pitchFamily="18" charset="0"/>
                            <a:ea typeface="+mn-ea"/>
                            <a:cs typeface="+mn-cs"/>
                          </a:rPr>
                          <m:t>2</m:t>
                        </m:r>
                        <m:r>
                          <a:rPr lang="zh-TW" altLang="en-US" sz="1100" b="0" i="1">
                            <a:solidFill>
                              <a:schemeClr val="tx1"/>
                            </a:solidFill>
                            <a:effectLst/>
                            <a:latin typeface="Cambria Math" panose="02040503050406030204" pitchFamily="18" charset="0"/>
                            <a:ea typeface="+mn-ea"/>
                            <a:cs typeface="+mn-cs"/>
                          </a:rPr>
                          <m:t>𝜋</m:t>
                        </m:r>
                        <m:r>
                          <a:rPr lang="zh-TW" altLang="en-US" sz="1100" b="0" i="1">
                            <a:solidFill>
                              <a:schemeClr val="tx1"/>
                            </a:solidFill>
                            <a:effectLst/>
                            <a:latin typeface="Cambria Math" panose="02040503050406030204" pitchFamily="18" charset="0"/>
                            <a:ea typeface="+mn-ea"/>
                            <a:cs typeface="+mn-cs"/>
                          </a:rPr>
                          <m:t>∗</m:t>
                        </m:r>
                        <m:r>
                          <a:rPr lang="el-GR" altLang="zh-TW" sz="1100" b="0" i="1">
                            <a:solidFill>
                              <a:schemeClr val="tx1"/>
                            </a:solidFill>
                            <a:effectLst/>
                            <a:latin typeface="Cambria Math" panose="02040503050406030204" pitchFamily="18" charset="0"/>
                            <a:ea typeface="+mn-ea"/>
                            <a:cs typeface="+mn-cs"/>
                          </a:rPr>
                          <m:t>𝜂</m:t>
                        </m:r>
                        <m:r>
                          <a:rPr lang="zh-TW" altLang="en-US" sz="1100" b="0" i="1">
                            <a:solidFill>
                              <a:schemeClr val="tx1"/>
                            </a:solidFill>
                            <a:effectLst/>
                            <a:latin typeface="Cambria Math" panose="02040503050406030204" pitchFamily="18" charset="0"/>
                            <a:ea typeface="+mn-ea"/>
                            <a:cs typeface="+mn-cs"/>
                          </a:rPr>
                          <m:t>∗</m:t>
                        </m:r>
                        <m:sSub>
                          <m:sSubPr>
                            <m:ctrlPr>
                              <a:rPr lang="zh-TW" altLang="en-US"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𝑖</m:t>
                            </m:r>
                            <m:r>
                              <a:rPr lang="en-US" altLang="zh-TW" sz="1100" i="1">
                                <a:solidFill>
                                  <a:schemeClr val="tx1"/>
                                </a:solidFill>
                                <a:effectLst/>
                                <a:latin typeface="Cambria Math" panose="02040503050406030204" pitchFamily="18" charset="0"/>
                                <a:ea typeface="+mn-ea"/>
                                <a:cs typeface="+mn-cs"/>
                              </a:rPr>
                              <m:t>∗</m:t>
                            </m:r>
                            <m:r>
                              <a:rPr lang="el-GR" altLang="zh-TW" sz="1100" i="1">
                                <a:solidFill>
                                  <a:schemeClr val="tx1"/>
                                </a:solidFill>
                                <a:effectLst/>
                                <a:latin typeface="Cambria Math" panose="02040503050406030204" pitchFamily="18" charset="0"/>
                                <a:ea typeface="+mn-ea"/>
                                <a:cs typeface="+mn-cs"/>
                              </a:rPr>
                              <m:t>𝜂</m:t>
                            </m:r>
                          </m:e>
                          <m:sub>
                            <m:r>
                              <a:rPr lang="en-US" altLang="zh-TW" sz="1100" b="0" i="1">
                                <a:solidFill>
                                  <a:schemeClr val="tx1"/>
                                </a:solidFill>
                                <a:effectLst/>
                                <a:latin typeface="Cambria Math" panose="02040503050406030204" pitchFamily="18" charset="0"/>
                                <a:ea typeface="+mn-ea"/>
                                <a:cs typeface="+mn-cs"/>
                              </a:rPr>
                              <m:t>𝑝𝑢𝑙𝑙𝑒𝑦</m:t>
                            </m:r>
                          </m:sub>
                        </m:sSub>
                      </m:den>
                    </m:f>
                  </m:oMath>
                </m:oMathPara>
              </a14:m>
              <a:endParaRPr lang="zh-TW" altLang="en-US" sz="1100"/>
            </a:p>
          </xdr:txBody>
        </xdr:sp>
      </mc:Choice>
      <mc:Fallback xmlns="">
        <xdr:sp macro="" textlink="">
          <xdr:nvSpPr>
            <xdr:cNvPr id="3" name="文字方塊 2">
              <a:extLst>
                <a:ext uri="{FF2B5EF4-FFF2-40B4-BE49-F238E27FC236}">
                  <a16:creationId xmlns:a16="http://schemas.microsoft.com/office/drawing/2014/main" id="{7BAE4A89-7518-4107-8D30-0C0EAB4E5136}"/>
                </a:ext>
              </a:extLst>
            </xdr:cNvPr>
            <xdr:cNvSpPr txBox="1"/>
          </xdr:nvSpPr>
          <xdr:spPr>
            <a:xfrm>
              <a:off x="4931143" y="3270282"/>
              <a:ext cx="1711292" cy="364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altLang="zh-TW" sz="1100" b="0" i="0">
                  <a:solidFill>
                    <a:schemeClr val="tx1"/>
                  </a:solidFill>
                  <a:effectLst/>
                  <a:latin typeface="Cambria Math" panose="02040503050406030204" pitchFamily="18" charset="0"/>
                  <a:ea typeface="+mn-ea"/>
                  <a:cs typeface="+mn-cs"/>
                </a:rPr>
                <a:t>𝑇_𝑑𝑟𝑖𝑣𝑒</a:t>
              </a:r>
              <a:r>
                <a:rPr lang="en-US" altLang="zh-TW" sz="1100" b="0" i="0">
                  <a:latin typeface="Cambria Math" panose="02040503050406030204" pitchFamily="18" charset="0"/>
                </a:rPr>
                <a:t>=(</a:t>
              </a:r>
              <a:r>
                <a:rPr lang="en-US" altLang="zh-TW" sz="1100" b="0" i="0">
                  <a:solidFill>
                    <a:schemeClr val="tx1"/>
                  </a:solidFill>
                  <a:effectLst/>
                  <a:latin typeface="Cambria Math" panose="02040503050406030204" pitchFamily="18" charset="0"/>
                  <a:ea typeface="+mn-ea"/>
                  <a:cs typeface="+mn-cs"/>
                </a:rPr>
                <a:t>𝐹_𝑎𝑥𝑖𝑎𝑙∗𝑃_ℎ)/(2</a:t>
              </a:r>
              <a:r>
                <a:rPr lang="zh-TW" altLang="en-US" sz="1100" b="0" i="0">
                  <a:solidFill>
                    <a:schemeClr val="tx1"/>
                  </a:solidFill>
                  <a:effectLst/>
                  <a:latin typeface="Cambria Math" panose="02040503050406030204" pitchFamily="18" charset="0"/>
                  <a:ea typeface="+mn-ea"/>
                  <a:cs typeface="+mn-cs"/>
                </a:rPr>
                <a:t>𝜋∗</a:t>
              </a:r>
              <a:r>
                <a:rPr lang="el-GR" altLang="zh-TW" sz="1100" b="0" i="0">
                  <a:solidFill>
                    <a:schemeClr val="tx1"/>
                  </a:solidFill>
                  <a:effectLst/>
                  <a:latin typeface="Cambria Math" panose="02040503050406030204" pitchFamily="18" charset="0"/>
                  <a:ea typeface="+mn-ea"/>
                  <a:cs typeface="+mn-cs"/>
                </a:rPr>
                <a:t>𝜂</a:t>
              </a:r>
              <a:r>
                <a:rPr lang="zh-TW" altLang="en-US" sz="1100" b="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𝑖</a:t>
              </a:r>
              <a:r>
                <a:rPr lang="en-US" altLang="zh-TW" sz="1100" i="0">
                  <a:solidFill>
                    <a:schemeClr val="tx1"/>
                  </a:solidFill>
                  <a:effectLst/>
                  <a:latin typeface="Cambria Math" panose="02040503050406030204" pitchFamily="18" charset="0"/>
                  <a:ea typeface="+mn-ea"/>
                  <a:cs typeface="+mn-cs"/>
                </a:rPr>
                <a:t>∗</a:t>
              </a:r>
              <a:r>
                <a:rPr lang="el-GR" altLang="zh-TW" sz="1100" i="0">
                  <a:solidFill>
                    <a:schemeClr val="tx1"/>
                  </a:solidFill>
                  <a:effectLst/>
                  <a:latin typeface="Cambria Math" panose="02040503050406030204" pitchFamily="18" charset="0"/>
                  <a:ea typeface="+mn-ea"/>
                  <a:cs typeface="+mn-cs"/>
                </a:rPr>
                <a:t>𝜂</a:t>
              </a:r>
              <a:r>
                <a:rPr lang="zh-TW" altLang="en-US"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𝑝𝑢𝑙𝑙𝑒𝑦 )</a:t>
              </a:r>
              <a:endParaRPr lang="zh-TW" altLang="en-US" sz="1100"/>
            </a:p>
          </xdr:txBody>
        </xdr:sp>
      </mc:Fallback>
    </mc:AlternateContent>
    <xdr:clientData/>
  </xdr:oneCellAnchor>
  <xdr:oneCellAnchor>
    <xdr:from>
      <xdr:col>0</xdr:col>
      <xdr:colOff>284646</xdr:colOff>
      <xdr:row>15</xdr:row>
      <xdr:rowOff>97657</xdr:rowOff>
    </xdr:from>
    <xdr:ext cx="1584123" cy="240632"/>
    <mc:AlternateContent xmlns:mc="http://schemas.openxmlformats.org/markup-compatibility/2006" xmlns:a14="http://schemas.microsoft.com/office/drawing/2010/main">
      <mc:Choice Requires="a14">
        <xdr:sp macro="" textlink="">
          <xdr:nvSpPr>
            <xdr:cNvPr id="4" name="文字方塊 3">
              <a:extLst>
                <a:ext uri="{FF2B5EF4-FFF2-40B4-BE49-F238E27FC236}">
                  <a16:creationId xmlns:a16="http://schemas.microsoft.com/office/drawing/2014/main" id="{00000000-0008-0000-0100-000004000000}"/>
                </a:ext>
              </a:extLst>
            </xdr:cNvPr>
            <xdr:cNvSpPr txBox="1"/>
          </xdr:nvSpPr>
          <xdr:spPr>
            <a:xfrm>
              <a:off x="288456" y="3341872"/>
              <a:ext cx="1584123" cy="24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zh-TW" altLang="zh-TW" sz="1100" i="1">
                            <a:solidFill>
                              <a:schemeClr val="tx1"/>
                            </a:solidFill>
                            <a:effectLst/>
                            <a:latin typeface="Cambria Math" panose="02040503050406030204" pitchFamily="18" charset="0"/>
                            <a:ea typeface="+mn-ea"/>
                            <a:cs typeface="+mn-cs"/>
                          </a:rPr>
                        </m:ctrlPr>
                      </m:sSubPr>
                      <m:e>
                        <m:r>
                          <a:rPr lang="en-US" altLang="zh-TW" sz="110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𝑎𝑥𝑖𝑎𝑙</m:t>
                        </m:r>
                      </m:sub>
                    </m:sSub>
                    <m:r>
                      <a:rPr lang="en-US" altLang="zh-TW" sz="1100" i="1">
                        <a:solidFill>
                          <a:schemeClr val="tx1"/>
                        </a:solidFill>
                        <a:effectLst/>
                        <a:latin typeface="Cambria Math" panose="02040503050406030204" pitchFamily="18" charset="0"/>
                        <a:ea typeface="+mn-ea"/>
                        <a:cs typeface="+mn-cs"/>
                      </a:rPr>
                      <m:t>=</m:t>
                    </m:r>
                    <m:sSub>
                      <m:sSubPr>
                        <m:ctrlPr>
                          <a:rPr lang="zh-TW" altLang="zh-TW"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𝑑𝑟𝑖𝑣𝑒</m:t>
                        </m:r>
                      </m:sub>
                    </m:sSub>
                    <m:r>
                      <a:rPr lang="en-US" altLang="zh-TW" sz="1100" i="1">
                        <a:solidFill>
                          <a:schemeClr val="tx1"/>
                        </a:solidFill>
                        <a:effectLst/>
                        <a:latin typeface="Cambria Math" panose="02040503050406030204" pitchFamily="18" charset="0"/>
                        <a:ea typeface="+mn-ea"/>
                        <a:cs typeface="+mn-cs"/>
                      </a:rPr>
                      <m:t>∗</m:t>
                    </m:r>
                    <m:sSub>
                      <m:sSubPr>
                        <m:ctrlPr>
                          <a:rPr lang="zh-TW" altLang="zh-TW"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𝑖</m:t>
                        </m:r>
                        <m:r>
                          <a:rPr lang="en-US" altLang="zh-TW" sz="1100" i="1">
                            <a:solidFill>
                              <a:schemeClr val="tx1"/>
                            </a:solidFill>
                            <a:effectLst/>
                            <a:latin typeface="Cambria Math" panose="02040503050406030204" pitchFamily="18" charset="0"/>
                            <a:ea typeface="+mn-ea"/>
                            <a:cs typeface="+mn-cs"/>
                          </a:rPr>
                          <m:t>∗</m:t>
                        </m:r>
                        <m:r>
                          <a:rPr lang="el-GR" altLang="zh-TW" sz="1100" i="1">
                            <a:solidFill>
                              <a:schemeClr val="tx1"/>
                            </a:solidFill>
                            <a:effectLst/>
                            <a:latin typeface="Cambria Math" panose="02040503050406030204" pitchFamily="18" charset="0"/>
                            <a:ea typeface="+mn-ea"/>
                            <a:cs typeface="+mn-cs"/>
                          </a:rPr>
                          <m:t>𝜂</m:t>
                        </m:r>
                      </m:e>
                      <m:sub>
                        <m:r>
                          <a:rPr lang="en-US" altLang="zh-TW" sz="1100" b="0" i="1">
                            <a:solidFill>
                              <a:schemeClr val="tx1"/>
                            </a:solidFill>
                            <a:effectLst/>
                            <a:latin typeface="Cambria Math" panose="02040503050406030204" pitchFamily="18" charset="0"/>
                            <a:ea typeface="+mn-ea"/>
                            <a:cs typeface="+mn-cs"/>
                          </a:rPr>
                          <m:t>𝑝𝑢𝑙𝑙𝑒𝑦</m:t>
                        </m:r>
                      </m:sub>
                    </m:sSub>
                  </m:oMath>
                </m:oMathPara>
              </a14:m>
              <a:endParaRPr lang="zh-TW" altLang="zh-TW" sz="1100">
                <a:solidFill>
                  <a:schemeClr val="tx1"/>
                </a:solidFill>
                <a:effectLst/>
                <a:latin typeface="+mn-lt"/>
                <a:ea typeface="+mn-ea"/>
                <a:cs typeface="+mn-cs"/>
              </a:endParaRPr>
            </a:p>
          </xdr:txBody>
        </xdr:sp>
      </mc:Choice>
      <mc:Fallback xmlns="">
        <xdr:sp macro="" textlink="">
          <xdr:nvSpPr>
            <xdr:cNvPr id="4" name="文字方塊 3">
              <a:extLst>
                <a:ext uri="{FF2B5EF4-FFF2-40B4-BE49-F238E27FC236}">
                  <a16:creationId xmlns:a16="http://schemas.microsoft.com/office/drawing/2014/main" id="{AF15D261-52E0-41AC-8866-AC669BFFC148}"/>
                </a:ext>
              </a:extLst>
            </xdr:cNvPr>
            <xdr:cNvSpPr txBox="1"/>
          </xdr:nvSpPr>
          <xdr:spPr>
            <a:xfrm>
              <a:off x="288456" y="3341872"/>
              <a:ext cx="1584123" cy="24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altLang="zh-TW" sz="1100" i="0">
                  <a:solidFill>
                    <a:schemeClr val="tx1"/>
                  </a:solidFill>
                  <a:effectLst/>
                  <a:latin typeface="Cambria Math" panose="02040503050406030204" pitchFamily="18" charset="0"/>
                  <a:ea typeface="+mn-ea"/>
                  <a:cs typeface="+mn-cs"/>
                </a:rPr>
                <a:t>𝑇</a:t>
              </a:r>
              <a:r>
                <a:rPr lang="zh-TW" altLang="zh-TW"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𝑎𝑥𝑖𝑎𝑙</a:t>
              </a:r>
              <a:r>
                <a:rPr lang="en-US" altLang="zh-TW" sz="110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𝑇</a:t>
              </a:r>
              <a:r>
                <a:rPr lang="zh-TW" altLang="zh-TW" sz="1100" b="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𝑑𝑟𝑖𝑣𝑒</a:t>
              </a:r>
              <a:r>
                <a:rPr lang="en-US" altLang="zh-TW" sz="1100" i="0">
                  <a:solidFill>
                    <a:schemeClr val="tx1"/>
                  </a:solidFill>
                  <a:effectLst/>
                  <a:latin typeface="Cambria Math" panose="02040503050406030204" pitchFamily="18" charset="0"/>
                  <a:ea typeface="+mn-ea"/>
                  <a:cs typeface="+mn-cs"/>
                </a:rPr>
                <a:t>∗</a:t>
              </a:r>
              <a:r>
                <a:rPr lang="zh-TW" altLang="zh-TW" sz="110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𝑖</a:t>
              </a:r>
              <a:r>
                <a:rPr lang="en-US" altLang="zh-TW" sz="1100" i="0">
                  <a:solidFill>
                    <a:schemeClr val="tx1"/>
                  </a:solidFill>
                  <a:effectLst/>
                  <a:latin typeface="Cambria Math" panose="02040503050406030204" pitchFamily="18" charset="0"/>
                  <a:ea typeface="+mn-ea"/>
                  <a:cs typeface="+mn-cs"/>
                </a:rPr>
                <a:t>∗</a:t>
              </a:r>
              <a:r>
                <a:rPr lang="el-GR" altLang="zh-TW" sz="1100" i="0">
                  <a:solidFill>
                    <a:schemeClr val="tx1"/>
                  </a:solidFill>
                  <a:effectLst/>
                  <a:latin typeface="Cambria Math" panose="02040503050406030204" pitchFamily="18" charset="0"/>
                  <a:ea typeface="+mn-ea"/>
                  <a:cs typeface="+mn-cs"/>
                </a:rPr>
                <a:t>𝜂</a:t>
              </a:r>
              <a:r>
                <a:rPr lang="zh-TW" altLang="zh-TW"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𝑝𝑢𝑙𝑙𝑒𝑦</a:t>
              </a:r>
              <a:endParaRPr lang="zh-TW" altLang="zh-TW" sz="1100">
                <a:solidFill>
                  <a:schemeClr val="tx1"/>
                </a:solidFill>
                <a:effectLst/>
                <a:latin typeface="+mn-lt"/>
                <a:ea typeface="+mn-ea"/>
                <a:cs typeface="+mn-cs"/>
              </a:endParaRPr>
            </a:p>
          </xdr:txBody>
        </xdr:sp>
      </mc:Fallback>
    </mc:AlternateContent>
    <xdr:clientData/>
  </xdr:oneCellAnchor>
  <xdr:oneCellAnchor>
    <xdr:from>
      <xdr:col>0</xdr:col>
      <xdr:colOff>345809</xdr:colOff>
      <xdr:row>5</xdr:row>
      <xdr:rowOff>61361</xdr:rowOff>
    </xdr:from>
    <xdr:ext cx="1259305" cy="345544"/>
    <mc:AlternateContent xmlns:mc="http://schemas.openxmlformats.org/markup-compatibility/2006" xmlns:a14="http://schemas.microsoft.com/office/drawing/2010/main">
      <mc:Choice Requires="a14">
        <xdr:sp macro="" textlink="">
          <xdr:nvSpPr>
            <xdr:cNvPr id="5" name="文字方塊 4">
              <a:extLst>
                <a:ext uri="{FF2B5EF4-FFF2-40B4-BE49-F238E27FC236}">
                  <a16:creationId xmlns:a16="http://schemas.microsoft.com/office/drawing/2014/main" id="{00000000-0008-0000-0100-000005000000}"/>
                </a:ext>
              </a:extLst>
            </xdr:cNvPr>
            <xdr:cNvSpPr txBox="1"/>
          </xdr:nvSpPr>
          <xdr:spPr>
            <a:xfrm>
              <a:off x="345809" y="1191026"/>
              <a:ext cx="1259305"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𝑎𝑥𝑖𝑎𝑙</m:t>
                        </m:r>
                      </m:sub>
                    </m:sSub>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𝐹</m:t>
                            </m:r>
                          </m:e>
                          <m:sub>
                            <m:r>
                              <a:rPr lang="en-US" altLang="zh-TW" sz="1100" b="0" i="1">
                                <a:solidFill>
                                  <a:schemeClr val="tx1"/>
                                </a:solidFill>
                                <a:effectLst/>
                                <a:latin typeface="Cambria Math" panose="02040503050406030204" pitchFamily="18" charset="0"/>
                                <a:ea typeface="+mn-ea"/>
                                <a:cs typeface="+mn-cs"/>
                              </a:rPr>
                              <m:t>𝑎𝑥𝑖𝑎𝑙</m:t>
                            </m:r>
                          </m:sub>
                        </m:sSub>
                        <m:r>
                          <a:rPr lang="zh-TW" altLang="en-US" sz="1100" b="0" i="1">
                            <a:solidFill>
                              <a:schemeClr val="tx1"/>
                            </a:solidFill>
                            <a:effectLst/>
                            <a:latin typeface="Cambria Math" panose="02040503050406030204" pitchFamily="18" charset="0"/>
                            <a:ea typeface="+mn-ea"/>
                            <a:cs typeface="+mn-cs"/>
                          </a:rPr>
                          <m:t>∗</m:t>
                        </m:r>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𝑃</m:t>
                            </m:r>
                          </m:e>
                          <m:sub>
                            <m:r>
                              <a:rPr lang="en-US" altLang="zh-TW" sz="1100" b="0" i="1">
                                <a:solidFill>
                                  <a:schemeClr val="tx1"/>
                                </a:solidFill>
                                <a:effectLst/>
                                <a:latin typeface="Cambria Math" panose="02040503050406030204" pitchFamily="18" charset="0"/>
                                <a:ea typeface="+mn-ea"/>
                                <a:cs typeface="+mn-cs"/>
                              </a:rPr>
                              <m:t>h</m:t>
                            </m:r>
                          </m:sub>
                        </m:sSub>
                      </m:num>
                      <m:den>
                        <m:r>
                          <a:rPr lang="en-US" altLang="zh-TW" sz="1100" b="0" i="1">
                            <a:solidFill>
                              <a:schemeClr val="tx1"/>
                            </a:solidFill>
                            <a:effectLst/>
                            <a:latin typeface="Cambria Math" panose="02040503050406030204" pitchFamily="18" charset="0"/>
                            <a:ea typeface="+mn-ea"/>
                            <a:cs typeface="+mn-cs"/>
                          </a:rPr>
                          <m:t>2</m:t>
                        </m:r>
                        <m:r>
                          <a:rPr lang="zh-TW" altLang="en-US" sz="1100" b="0" i="1">
                            <a:solidFill>
                              <a:schemeClr val="tx1"/>
                            </a:solidFill>
                            <a:effectLst/>
                            <a:latin typeface="Cambria Math" panose="02040503050406030204" pitchFamily="18" charset="0"/>
                            <a:ea typeface="+mn-ea"/>
                            <a:cs typeface="+mn-cs"/>
                          </a:rPr>
                          <m:t>𝜋</m:t>
                        </m:r>
                        <m:r>
                          <a:rPr lang="zh-TW" altLang="en-US" sz="1100" b="0" i="1">
                            <a:solidFill>
                              <a:schemeClr val="tx1"/>
                            </a:solidFill>
                            <a:effectLst/>
                            <a:latin typeface="Cambria Math" panose="02040503050406030204" pitchFamily="18" charset="0"/>
                            <a:ea typeface="+mn-ea"/>
                            <a:cs typeface="+mn-cs"/>
                          </a:rPr>
                          <m:t>∗</m:t>
                        </m:r>
                        <m:r>
                          <a:rPr lang="el-GR" altLang="zh-TW" sz="1100" b="0" i="1">
                            <a:solidFill>
                              <a:schemeClr val="tx1"/>
                            </a:solidFill>
                            <a:effectLst/>
                            <a:latin typeface="Cambria Math" panose="02040503050406030204" pitchFamily="18" charset="0"/>
                            <a:ea typeface="+mn-ea"/>
                            <a:cs typeface="+mn-cs"/>
                          </a:rPr>
                          <m:t>𝜂</m:t>
                        </m:r>
                      </m:den>
                    </m:f>
                  </m:oMath>
                </m:oMathPara>
              </a14:m>
              <a:endParaRPr lang="zh-TW" altLang="en-US" sz="1100"/>
            </a:p>
          </xdr:txBody>
        </xdr:sp>
      </mc:Choice>
      <mc:Fallback xmlns="">
        <xdr:sp macro="" textlink="">
          <xdr:nvSpPr>
            <xdr:cNvPr id="5" name="文字方塊 4">
              <a:extLst>
                <a:ext uri="{FF2B5EF4-FFF2-40B4-BE49-F238E27FC236}">
                  <a16:creationId xmlns:a16="http://schemas.microsoft.com/office/drawing/2014/main" id="{0A98EA70-BE59-49F1-9401-57220DB3E206}"/>
                </a:ext>
              </a:extLst>
            </xdr:cNvPr>
            <xdr:cNvSpPr txBox="1"/>
          </xdr:nvSpPr>
          <xdr:spPr>
            <a:xfrm>
              <a:off x="345809" y="1191026"/>
              <a:ext cx="1259305"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altLang="zh-TW" sz="1100" b="0" i="0">
                  <a:solidFill>
                    <a:schemeClr val="tx1"/>
                  </a:solidFill>
                  <a:effectLst/>
                  <a:latin typeface="Cambria Math" panose="02040503050406030204" pitchFamily="18" charset="0"/>
                  <a:ea typeface="+mn-ea"/>
                  <a:cs typeface="+mn-cs"/>
                </a:rPr>
                <a:t>𝑇_𝑎𝑥𝑖𝑎𝑙</a:t>
              </a:r>
              <a:r>
                <a:rPr lang="en-US" altLang="zh-TW" sz="1100" b="0" i="0">
                  <a:latin typeface="Cambria Math" panose="02040503050406030204" pitchFamily="18" charset="0"/>
                </a:rPr>
                <a:t>=(</a:t>
              </a:r>
              <a:r>
                <a:rPr lang="en-US" altLang="zh-TW" sz="1100" b="0" i="0">
                  <a:solidFill>
                    <a:schemeClr val="tx1"/>
                  </a:solidFill>
                  <a:effectLst/>
                  <a:latin typeface="Cambria Math" panose="02040503050406030204" pitchFamily="18" charset="0"/>
                  <a:ea typeface="+mn-ea"/>
                  <a:cs typeface="+mn-cs"/>
                </a:rPr>
                <a:t>𝐹_𝑎𝑥𝑖𝑎𝑙</a:t>
              </a:r>
              <a:r>
                <a:rPr lang="zh-TW" altLang="en-US" sz="1100" b="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𝑃_ℎ)/(2</a:t>
              </a:r>
              <a:r>
                <a:rPr lang="zh-TW" altLang="en-US" sz="1100" b="0" i="0">
                  <a:solidFill>
                    <a:schemeClr val="tx1"/>
                  </a:solidFill>
                  <a:effectLst/>
                  <a:latin typeface="Cambria Math" panose="02040503050406030204" pitchFamily="18" charset="0"/>
                  <a:ea typeface="+mn-ea"/>
                  <a:cs typeface="+mn-cs"/>
                </a:rPr>
                <a:t>𝜋∗</a:t>
              </a:r>
              <a:r>
                <a:rPr lang="el-GR" altLang="zh-TW" sz="1100" b="0" i="0">
                  <a:solidFill>
                    <a:schemeClr val="tx1"/>
                  </a:solidFill>
                  <a:effectLst/>
                  <a:latin typeface="Cambria Math" panose="02040503050406030204" pitchFamily="18" charset="0"/>
                  <a:ea typeface="+mn-ea"/>
                  <a:cs typeface="+mn-cs"/>
                </a:rPr>
                <a:t>𝜂</a:t>
              </a:r>
              <a:r>
                <a:rPr lang="en-US" altLang="zh-TW" sz="1100" b="0" i="0">
                  <a:solidFill>
                    <a:schemeClr val="tx1"/>
                  </a:solidFill>
                  <a:effectLst/>
                  <a:latin typeface="Cambria Math" panose="02040503050406030204" pitchFamily="18" charset="0"/>
                  <a:ea typeface="+mn-ea"/>
                  <a:cs typeface="+mn-cs"/>
                </a:rPr>
                <a:t>)</a:t>
              </a:r>
              <a:endParaRPr lang="zh-TW" altLang="en-US" sz="1100"/>
            </a:p>
          </xdr:txBody>
        </xdr:sp>
      </mc:Fallback>
    </mc:AlternateContent>
    <xdr:clientData/>
  </xdr:oneCellAnchor>
  <xdr:oneCellAnchor>
    <xdr:from>
      <xdr:col>1</xdr:col>
      <xdr:colOff>494498</xdr:colOff>
      <xdr:row>15</xdr:row>
      <xdr:rowOff>16543</xdr:rowOff>
    </xdr:from>
    <xdr:ext cx="2009845" cy="364395"/>
    <mc:AlternateContent xmlns:mc="http://schemas.openxmlformats.org/markup-compatibility/2006" xmlns:a14="http://schemas.microsoft.com/office/drawing/2010/main">
      <mc:Choice Requires="a14">
        <xdr:sp macro="" textlink="">
          <xdr:nvSpPr>
            <xdr:cNvPr id="6" name="文字方塊 5">
              <a:extLst>
                <a:ext uri="{FF2B5EF4-FFF2-40B4-BE49-F238E27FC236}">
                  <a16:creationId xmlns:a16="http://schemas.microsoft.com/office/drawing/2014/main" id="{00000000-0008-0000-0100-000006000000}"/>
                </a:ext>
              </a:extLst>
            </xdr:cNvPr>
            <xdr:cNvSpPr txBox="1"/>
          </xdr:nvSpPr>
          <xdr:spPr>
            <a:xfrm>
              <a:off x="2361398" y="3268378"/>
              <a:ext cx="2009845" cy="364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100" i="1">
                            <a:latin typeface="Cambria Math" panose="02040503050406030204" pitchFamily="18" charset="0"/>
                          </a:rPr>
                        </m:ctrlPr>
                      </m:sSubPr>
                      <m:e>
                        <m:r>
                          <a:rPr lang="en-US" altLang="zh-TW" sz="1100" b="0" i="1">
                            <a:latin typeface="Cambria Math" panose="02040503050406030204" pitchFamily="18" charset="0"/>
                          </a:rPr>
                          <m:t>𝑇</m:t>
                        </m:r>
                      </m:e>
                      <m:sub>
                        <m:r>
                          <a:rPr lang="en-US" altLang="zh-TW" sz="1100" b="0" i="1">
                            <a:latin typeface="Cambria Math" panose="02040503050406030204" pitchFamily="18" charset="0"/>
                          </a:rPr>
                          <m:t>𝑑𝑟𝑖𝑣𝑒</m:t>
                        </m:r>
                      </m:sub>
                    </m:sSub>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𝑇</m:t>
                            </m:r>
                          </m:e>
                          <m:sub>
                            <m:r>
                              <a:rPr lang="en-US" altLang="zh-TW" sz="1100" b="0" i="1">
                                <a:latin typeface="Cambria Math" panose="02040503050406030204" pitchFamily="18" charset="0"/>
                              </a:rPr>
                              <m:t>𝑎𝑥𝑖𝑎𝑙</m:t>
                            </m:r>
                          </m:sub>
                        </m:sSub>
                      </m:num>
                      <m:den>
                        <m:r>
                          <a:rPr lang="en-US" altLang="zh-TW" sz="1100" b="0" i="1">
                            <a:latin typeface="Cambria Math" panose="02040503050406030204" pitchFamily="18" charset="0"/>
                          </a:rPr>
                          <m:t>𝑖</m:t>
                        </m:r>
                        <m:r>
                          <a:rPr lang="en-US" altLang="zh-TW" sz="1100" b="0" i="1">
                            <a:latin typeface="Cambria Math" panose="02040503050406030204" pitchFamily="18" charset="0"/>
                            <a:ea typeface="Cambria Math" panose="02040503050406030204" pitchFamily="18" charset="0"/>
                          </a:rPr>
                          <m:t>∗</m:t>
                        </m:r>
                        <m:sSub>
                          <m:sSubPr>
                            <m:ctrlPr>
                              <a:rPr lang="en-US" altLang="zh-TW" sz="1100" b="0" i="1">
                                <a:latin typeface="Cambria Math" panose="02040503050406030204" pitchFamily="18" charset="0"/>
                                <a:ea typeface="Cambria Math" panose="02040503050406030204" pitchFamily="18" charset="0"/>
                              </a:rPr>
                            </m:ctrlPr>
                          </m:sSubPr>
                          <m:e>
                            <m:r>
                              <a:rPr lang="zh-TW" altLang="en-US" sz="1100" b="0" i="1">
                                <a:latin typeface="Cambria Math" panose="02040503050406030204" pitchFamily="18" charset="0"/>
                                <a:ea typeface="Cambria Math" panose="02040503050406030204" pitchFamily="18" charset="0"/>
                              </a:rPr>
                              <m:t>𝜂</m:t>
                            </m:r>
                          </m:e>
                          <m:sub>
                            <m:r>
                              <a:rPr lang="en-US" altLang="zh-TW" sz="1100" b="0" i="1">
                                <a:latin typeface="Cambria Math" panose="02040503050406030204" pitchFamily="18" charset="0"/>
                                <a:ea typeface="Cambria Math" panose="02040503050406030204" pitchFamily="18" charset="0"/>
                              </a:rPr>
                              <m:t>𝑝𝑢𝑙𝑙𝑒𝑦</m:t>
                            </m:r>
                          </m:sub>
                        </m:sSub>
                      </m:den>
                    </m:f>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𝑇</m:t>
                            </m:r>
                          </m:e>
                          <m:sub>
                            <m:r>
                              <a:rPr lang="en-US" altLang="zh-TW" sz="1100" b="0" i="1">
                                <a:latin typeface="Cambria Math" panose="02040503050406030204" pitchFamily="18" charset="0"/>
                              </a:rPr>
                              <m:t>𝑎𝑥𝑖𝑎𝑙</m:t>
                            </m:r>
                          </m:sub>
                        </m:sSub>
                        <m:r>
                          <a:rPr lang="en-US" altLang="zh-TW" sz="1100" b="0" i="1">
                            <a:latin typeface="Cambria Math" panose="02040503050406030204" pitchFamily="18" charset="0"/>
                            <a:ea typeface="Cambria Math" panose="02040503050406030204" pitchFamily="18" charset="0"/>
                          </a:rPr>
                          <m:t>∗</m:t>
                        </m:r>
                        <m:sSub>
                          <m:sSubPr>
                            <m:ctrlPr>
                              <a:rPr lang="en-US" altLang="zh-TW" sz="1100" b="0" i="1">
                                <a:latin typeface="Cambria Math" panose="02040503050406030204" pitchFamily="18" charset="0"/>
                                <a:ea typeface="Cambria Math" panose="02040503050406030204" pitchFamily="18" charset="0"/>
                              </a:rPr>
                            </m:ctrlPr>
                          </m:sSubPr>
                          <m:e>
                            <m:r>
                              <a:rPr lang="en-US" altLang="zh-TW" sz="1100" b="0" i="1">
                                <a:latin typeface="Cambria Math" panose="02040503050406030204" pitchFamily="18" charset="0"/>
                                <a:ea typeface="Cambria Math" panose="02040503050406030204" pitchFamily="18" charset="0"/>
                              </a:rPr>
                              <m:t>𝑁</m:t>
                            </m:r>
                          </m:e>
                          <m:sub>
                            <m:r>
                              <a:rPr lang="en-US" altLang="zh-TW" sz="1100" b="0" i="1">
                                <a:latin typeface="Cambria Math" panose="02040503050406030204" pitchFamily="18" charset="0"/>
                                <a:ea typeface="Cambria Math" panose="02040503050406030204" pitchFamily="18" charset="0"/>
                              </a:rPr>
                              <m:t>2</m:t>
                            </m:r>
                          </m:sub>
                        </m:sSub>
                      </m:num>
                      <m:den>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𝑁</m:t>
                            </m:r>
                          </m:e>
                          <m:sub>
                            <m:r>
                              <a:rPr lang="en-US" altLang="zh-TW" sz="1100" b="0" i="1">
                                <a:latin typeface="Cambria Math" panose="02040503050406030204" pitchFamily="18" charset="0"/>
                              </a:rPr>
                              <m:t>1</m:t>
                            </m:r>
                          </m:sub>
                        </m:sSub>
                        <m:r>
                          <a:rPr lang="en-US" altLang="zh-TW" sz="1100" b="0" i="1">
                            <a:latin typeface="Cambria Math" panose="02040503050406030204" pitchFamily="18" charset="0"/>
                            <a:ea typeface="Cambria Math" panose="02040503050406030204" pitchFamily="18" charset="0"/>
                          </a:rPr>
                          <m:t>∗</m:t>
                        </m:r>
                        <m:sSub>
                          <m:sSubPr>
                            <m:ctrlPr>
                              <a:rPr lang="en-US" altLang="zh-TW" sz="1100" b="0" i="1">
                                <a:latin typeface="Cambria Math" panose="02040503050406030204" pitchFamily="18" charset="0"/>
                                <a:ea typeface="Cambria Math" panose="02040503050406030204" pitchFamily="18" charset="0"/>
                              </a:rPr>
                            </m:ctrlPr>
                          </m:sSubPr>
                          <m:e>
                            <m:r>
                              <a:rPr lang="zh-TW" altLang="en-US" sz="1100" b="0" i="1">
                                <a:latin typeface="Cambria Math" panose="02040503050406030204" pitchFamily="18" charset="0"/>
                                <a:ea typeface="Cambria Math" panose="02040503050406030204" pitchFamily="18" charset="0"/>
                              </a:rPr>
                              <m:t>𝜂</m:t>
                            </m:r>
                          </m:e>
                          <m:sub>
                            <m:r>
                              <a:rPr lang="en-US" altLang="zh-TW" sz="1100" b="0" i="1">
                                <a:latin typeface="Cambria Math" panose="02040503050406030204" pitchFamily="18" charset="0"/>
                                <a:ea typeface="Cambria Math" panose="02040503050406030204" pitchFamily="18" charset="0"/>
                              </a:rPr>
                              <m:t>𝑝𝑢𝑙𝑙𝑒𝑦</m:t>
                            </m:r>
                          </m:sub>
                        </m:sSub>
                      </m:den>
                    </m:f>
                  </m:oMath>
                </m:oMathPara>
              </a14:m>
              <a:endParaRPr lang="zh-TW" altLang="en-US" sz="1100"/>
            </a:p>
          </xdr:txBody>
        </xdr:sp>
      </mc:Choice>
      <mc:Fallback xmlns="">
        <xdr:sp macro="" textlink="">
          <xdr:nvSpPr>
            <xdr:cNvPr id="6" name="文字方塊 5">
              <a:extLst>
                <a:ext uri="{FF2B5EF4-FFF2-40B4-BE49-F238E27FC236}">
                  <a16:creationId xmlns:a16="http://schemas.microsoft.com/office/drawing/2014/main" id="{2B610981-B3F5-4434-8F75-C07BEB92A300}"/>
                </a:ext>
              </a:extLst>
            </xdr:cNvPr>
            <xdr:cNvSpPr txBox="1"/>
          </xdr:nvSpPr>
          <xdr:spPr>
            <a:xfrm>
              <a:off x="2361398" y="3268378"/>
              <a:ext cx="2009845" cy="364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altLang="zh-TW" sz="1100" b="0" i="0">
                  <a:latin typeface="Cambria Math" panose="02040503050406030204" pitchFamily="18" charset="0"/>
                </a:rPr>
                <a:t>𝑇_𝑑𝑟𝑖𝑣𝑒=𝑇_𝑎𝑥𝑖𝑎𝑙/(𝑖</a:t>
              </a:r>
              <a:r>
                <a:rPr lang="en-US" altLang="zh-TW" sz="1100" b="0" i="0">
                  <a:latin typeface="Cambria Math" panose="02040503050406030204" pitchFamily="18" charset="0"/>
                  <a:ea typeface="Cambria Math" panose="02040503050406030204" pitchFamily="18" charset="0"/>
                </a:rPr>
                <a:t>∗</a:t>
              </a:r>
              <a:r>
                <a:rPr lang="zh-TW" altLang="en-US" sz="1100" b="0" i="0">
                  <a:latin typeface="Cambria Math" panose="02040503050406030204" pitchFamily="18" charset="0"/>
                  <a:ea typeface="Cambria Math" panose="02040503050406030204" pitchFamily="18" charset="0"/>
                </a:rPr>
                <a:t>𝜂</a:t>
              </a:r>
              <a:r>
                <a:rPr lang="en-US" altLang="zh-TW" sz="1100" b="0" i="0">
                  <a:latin typeface="Cambria Math" panose="02040503050406030204" pitchFamily="18" charset="0"/>
                  <a:ea typeface="Cambria Math" panose="02040503050406030204" pitchFamily="18" charset="0"/>
                </a:rPr>
                <a:t>_𝑝𝑢𝑙𝑙𝑒𝑦 )</a:t>
              </a:r>
              <a:r>
                <a:rPr lang="en-US" altLang="zh-TW" sz="1100" b="0" i="0">
                  <a:latin typeface="Cambria Math" panose="02040503050406030204" pitchFamily="18" charset="0"/>
                </a:rPr>
                <a:t>=(𝑇_𝑎𝑥𝑖𝑎𝑙</a:t>
              </a:r>
              <a:r>
                <a:rPr lang="en-US" altLang="zh-TW" sz="1100" b="0" i="0">
                  <a:latin typeface="Cambria Math" panose="02040503050406030204" pitchFamily="18" charset="0"/>
                  <a:ea typeface="Cambria Math" panose="02040503050406030204" pitchFamily="18" charset="0"/>
                </a:rPr>
                <a:t>∗𝑁_2)/(</a:t>
              </a:r>
              <a:r>
                <a:rPr lang="en-US" altLang="zh-TW" sz="1100" b="0" i="0">
                  <a:latin typeface="Cambria Math" panose="02040503050406030204" pitchFamily="18" charset="0"/>
                </a:rPr>
                <a:t>𝑁_1</a:t>
              </a:r>
              <a:r>
                <a:rPr lang="en-US" altLang="zh-TW" sz="1100" b="0" i="0">
                  <a:latin typeface="Cambria Math" panose="02040503050406030204" pitchFamily="18" charset="0"/>
                  <a:ea typeface="Cambria Math" panose="02040503050406030204" pitchFamily="18" charset="0"/>
                </a:rPr>
                <a:t>∗</a:t>
              </a:r>
              <a:r>
                <a:rPr lang="zh-TW" altLang="en-US" sz="1100" b="0" i="0">
                  <a:latin typeface="Cambria Math" panose="02040503050406030204" pitchFamily="18" charset="0"/>
                  <a:ea typeface="Cambria Math" panose="02040503050406030204" pitchFamily="18" charset="0"/>
                </a:rPr>
                <a:t>𝜂</a:t>
              </a:r>
              <a:r>
                <a:rPr lang="en-US" altLang="zh-TW" sz="1100" b="0" i="0">
                  <a:latin typeface="Cambria Math" panose="02040503050406030204" pitchFamily="18" charset="0"/>
                  <a:ea typeface="Cambria Math" panose="02040503050406030204" pitchFamily="18" charset="0"/>
                </a:rPr>
                <a:t>_𝑝𝑢𝑙𝑙𝑒𝑦 )</a:t>
              </a:r>
              <a:endParaRPr lang="zh-TW" altLang="en-US"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0</xdr:col>
      <xdr:colOff>324394</xdr:colOff>
      <xdr:row>14</xdr:row>
      <xdr:rowOff>165463</xdr:rowOff>
    </xdr:from>
    <xdr:ext cx="65" cy="172227"/>
    <xdr:sp macro="" textlink="">
      <xdr:nvSpPr>
        <xdr:cNvPr id="2" name="文字方塊 1">
          <a:extLst>
            <a:ext uri="{FF2B5EF4-FFF2-40B4-BE49-F238E27FC236}">
              <a16:creationId xmlns:a16="http://schemas.microsoft.com/office/drawing/2014/main" id="{00000000-0008-0000-0200-000002000000}"/>
            </a:ext>
          </a:extLst>
        </xdr:cNvPr>
        <xdr:cNvSpPr txBox="1"/>
      </xdr:nvSpPr>
      <xdr:spPr>
        <a:xfrm>
          <a:off x="320584" y="320774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TW" altLang="en-US"/>
        </a:p>
      </xdr:txBody>
    </xdr:sp>
    <xdr:clientData/>
  </xdr:oneCellAnchor>
  <xdr:oneCellAnchor>
    <xdr:from>
      <xdr:col>0</xdr:col>
      <xdr:colOff>1012371</xdr:colOff>
      <xdr:row>4</xdr:row>
      <xdr:rowOff>15784</xdr:rowOff>
    </xdr:from>
    <xdr:ext cx="651172" cy="396240"/>
    <mc:AlternateContent xmlns:mc="http://schemas.openxmlformats.org/markup-compatibility/2006" xmlns:a14="http://schemas.microsoft.com/office/drawing/2010/main">
      <mc:Choice Requires="a14">
        <xdr:sp macro="" textlink="">
          <xdr:nvSpPr>
            <xdr:cNvPr id="3" name="文字方塊 2">
              <a:extLst>
                <a:ext uri="{FF2B5EF4-FFF2-40B4-BE49-F238E27FC236}">
                  <a16:creationId xmlns:a16="http://schemas.microsoft.com/office/drawing/2014/main" id="{00000000-0008-0000-0200-000003000000}"/>
                </a:ext>
              </a:extLst>
            </xdr:cNvPr>
            <xdr:cNvSpPr txBox="1"/>
          </xdr:nvSpPr>
          <xdr:spPr>
            <a:xfrm>
              <a:off x="1008561" y="943519"/>
              <a:ext cx="651172"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n-US" altLang="zh-TW" sz="1100" b="0" i="1">
                        <a:latin typeface="Cambria Math" panose="02040503050406030204" pitchFamily="18" charset="0"/>
                      </a:rPr>
                      <m:t>𝑖</m:t>
                    </m:r>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𝑁</m:t>
                            </m:r>
                          </m:e>
                          <m:sub>
                            <m:r>
                              <a:rPr lang="en-US" altLang="zh-TW" sz="1100" b="0" i="1">
                                <a:latin typeface="Cambria Math" panose="02040503050406030204" pitchFamily="18" charset="0"/>
                              </a:rPr>
                              <m:t>2</m:t>
                            </m:r>
                          </m:sub>
                        </m:sSub>
                      </m:num>
                      <m:den>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𝑁</m:t>
                            </m:r>
                          </m:e>
                          <m:sub>
                            <m:r>
                              <a:rPr lang="en-US" altLang="zh-TW" sz="1100" b="0" i="1">
                                <a:latin typeface="Cambria Math" panose="02040503050406030204" pitchFamily="18" charset="0"/>
                              </a:rPr>
                              <m:t>1</m:t>
                            </m:r>
                          </m:sub>
                        </m:sSub>
                      </m:den>
                    </m:f>
                  </m:oMath>
                </m:oMathPara>
              </a14:m>
              <a:endParaRPr lang="zh-TW" altLang="en-US" sz="1100"/>
            </a:p>
          </xdr:txBody>
        </xdr:sp>
      </mc:Choice>
      <mc:Fallback xmlns="">
        <xdr:sp macro="" textlink="">
          <xdr:nvSpPr>
            <xdr:cNvPr id="3" name="文字方塊 2">
              <a:extLst>
                <a:ext uri="{FF2B5EF4-FFF2-40B4-BE49-F238E27FC236}">
                  <a16:creationId xmlns:a16="http://schemas.microsoft.com/office/drawing/2014/main" id="{7927BFBC-FE5E-4C97-A9AC-1C9F982DADD9}"/>
                </a:ext>
              </a:extLst>
            </xdr:cNvPr>
            <xdr:cNvSpPr txBox="1"/>
          </xdr:nvSpPr>
          <xdr:spPr>
            <a:xfrm>
              <a:off x="1008561" y="943519"/>
              <a:ext cx="651172"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altLang="zh-TW" sz="1100" b="0" i="0">
                  <a:latin typeface="Cambria Math" panose="02040503050406030204" pitchFamily="18" charset="0"/>
                </a:rPr>
                <a:t>𝑖=𝑁_2/𝑁_1 </a:t>
              </a:r>
              <a:endParaRPr lang="zh-TW" altLang="en-US" sz="1100"/>
            </a:p>
          </xdr:txBody>
        </xdr:sp>
      </mc:Fallback>
    </mc:AlternateContent>
    <xdr:clientData/>
  </xdr:oneCellAnchor>
  <xdr:oneCellAnchor>
    <xdr:from>
      <xdr:col>0</xdr:col>
      <xdr:colOff>849901</xdr:colOff>
      <xdr:row>8</xdr:row>
      <xdr:rowOff>88991</xdr:rowOff>
    </xdr:from>
    <xdr:ext cx="1584123" cy="240632"/>
    <mc:AlternateContent xmlns:mc="http://schemas.openxmlformats.org/markup-compatibility/2006" xmlns:a14="http://schemas.microsoft.com/office/drawing/2010/main">
      <mc:Choice Requires="a14">
        <xdr:sp macro="" textlink="">
          <xdr:nvSpPr>
            <xdr:cNvPr id="4" name="文字方塊 3">
              <a:extLst>
                <a:ext uri="{FF2B5EF4-FFF2-40B4-BE49-F238E27FC236}">
                  <a16:creationId xmlns:a16="http://schemas.microsoft.com/office/drawing/2014/main" id="{00000000-0008-0000-0200-000004000000}"/>
                </a:ext>
              </a:extLst>
            </xdr:cNvPr>
            <xdr:cNvSpPr txBox="1"/>
          </xdr:nvSpPr>
          <xdr:spPr>
            <a:xfrm>
              <a:off x="853711" y="1873976"/>
              <a:ext cx="1584123" cy="24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zh-TW" altLang="zh-TW" sz="1100" i="1">
                            <a:solidFill>
                              <a:schemeClr val="tx1"/>
                            </a:solidFill>
                            <a:effectLst/>
                            <a:latin typeface="Cambria Math" panose="02040503050406030204" pitchFamily="18" charset="0"/>
                            <a:ea typeface="+mn-ea"/>
                            <a:cs typeface="+mn-cs"/>
                          </a:rPr>
                        </m:ctrlPr>
                      </m:sSubPr>
                      <m:e>
                        <m:r>
                          <a:rPr lang="en-US" altLang="zh-TW" sz="110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𝑎𝑥𝑖𝑎𝑙</m:t>
                        </m:r>
                      </m:sub>
                    </m:sSub>
                    <m:r>
                      <a:rPr lang="en-US" altLang="zh-TW" sz="1100" i="1">
                        <a:solidFill>
                          <a:schemeClr val="tx1"/>
                        </a:solidFill>
                        <a:effectLst/>
                        <a:latin typeface="Cambria Math" panose="02040503050406030204" pitchFamily="18" charset="0"/>
                        <a:ea typeface="+mn-ea"/>
                        <a:cs typeface="+mn-cs"/>
                      </a:rPr>
                      <m:t>=</m:t>
                    </m:r>
                    <m:sSub>
                      <m:sSubPr>
                        <m:ctrlPr>
                          <a:rPr lang="zh-TW" altLang="zh-TW"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𝑑𝑟𝑖𝑣𝑒</m:t>
                        </m:r>
                      </m:sub>
                    </m:sSub>
                    <m:r>
                      <a:rPr lang="en-US" altLang="zh-TW" sz="1100" i="1">
                        <a:solidFill>
                          <a:schemeClr val="tx1"/>
                        </a:solidFill>
                        <a:effectLst/>
                        <a:latin typeface="Cambria Math" panose="02040503050406030204" pitchFamily="18" charset="0"/>
                        <a:ea typeface="+mn-ea"/>
                        <a:cs typeface="+mn-cs"/>
                      </a:rPr>
                      <m:t>∗</m:t>
                    </m:r>
                    <m:sSub>
                      <m:sSubPr>
                        <m:ctrlPr>
                          <a:rPr lang="zh-TW" altLang="zh-TW"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𝑖</m:t>
                        </m:r>
                        <m:r>
                          <a:rPr lang="en-US" altLang="zh-TW" sz="1100" i="1">
                            <a:solidFill>
                              <a:schemeClr val="tx1"/>
                            </a:solidFill>
                            <a:effectLst/>
                            <a:latin typeface="Cambria Math" panose="02040503050406030204" pitchFamily="18" charset="0"/>
                            <a:ea typeface="+mn-ea"/>
                            <a:cs typeface="+mn-cs"/>
                          </a:rPr>
                          <m:t>∗</m:t>
                        </m:r>
                        <m:r>
                          <a:rPr lang="el-GR" altLang="zh-TW" sz="1100" i="1">
                            <a:solidFill>
                              <a:schemeClr val="tx1"/>
                            </a:solidFill>
                            <a:effectLst/>
                            <a:latin typeface="Cambria Math" panose="02040503050406030204" pitchFamily="18" charset="0"/>
                            <a:ea typeface="+mn-ea"/>
                            <a:cs typeface="+mn-cs"/>
                          </a:rPr>
                          <m:t>𝜂</m:t>
                        </m:r>
                      </m:e>
                      <m:sub>
                        <m:r>
                          <a:rPr lang="en-US" altLang="zh-TW" sz="1100" b="0" i="1">
                            <a:solidFill>
                              <a:schemeClr val="tx1"/>
                            </a:solidFill>
                            <a:effectLst/>
                            <a:latin typeface="Cambria Math" panose="02040503050406030204" pitchFamily="18" charset="0"/>
                            <a:ea typeface="+mn-ea"/>
                            <a:cs typeface="+mn-cs"/>
                          </a:rPr>
                          <m:t>𝑝𝑢𝑙𝑙𝑒𝑦</m:t>
                        </m:r>
                      </m:sub>
                    </m:sSub>
                  </m:oMath>
                </m:oMathPara>
              </a14:m>
              <a:endParaRPr lang="zh-TW" altLang="zh-TW" sz="1100">
                <a:solidFill>
                  <a:schemeClr val="tx1"/>
                </a:solidFill>
                <a:effectLst/>
                <a:latin typeface="+mn-lt"/>
                <a:ea typeface="+mn-ea"/>
                <a:cs typeface="+mn-cs"/>
              </a:endParaRPr>
            </a:p>
          </xdr:txBody>
        </xdr:sp>
      </mc:Choice>
      <mc:Fallback xmlns="">
        <xdr:sp macro="" textlink="">
          <xdr:nvSpPr>
            <xdr:cNvPr id="4" name="文字方塊 3">
              <a:extLst>
                <a:ext uri="{FF2B5EF4-FFF2-40B4-BE49-F238E27FC236}">
                  <a16:creationId xmlns:a16="http://schemas.microsoft.com/office/drawing/2014/main" id="{06C1492C-A8A2-4E08-B07E-5F41BB8C994D}"/>
                </a:ext>
              </a:extLst>
            </xdr:cNvPr>
            <xdr:cNvSpPr txBox="1"/>
          </xdr:nvSpPr>
          <xdr:spPr>
            <a:xfrm>
              <a:off x="853711" y="1873976"/>
              <a:ext cx="1584123" cy="24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altLang="zh-TW" sz="1100" i="0">
                  <a:solidFill>
                    <a:schemeClr val="tx1"/>
                  </a:solidFill>
                  <a:effectLst/>
                  <a:latin typeface="Cambria Math" panose="02040503050406030204" pitchFamily="18" charset="0"/>
                  <a:ea typeface="+mn-ea"/>
                  <a:cs typeface="+mn-cs"/>
                </a:rPr>
                <a:t>𝑇</a:t>
              </a:r>
              <a:r>
                <a:rPr lang="zh-TW" altLang="zh-TW"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𝑎𝑥𝑖𝑎𝑙</a:t>
              </a:r>
              <a:r>
                <a:rPr lang="en-US" altLang="zh-TW" sz="110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𝑇</a:t>
              </a:r>
              <a:r>
                <a:rPr lang="zh-TW" altLang="zh-TW" sz="1100" b="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𝑑𝑟𝑖𝑣𝑒</a:t>
              </a:r>
              <a:r>
                <a:rPr lang="en-US" altLang="zh-TW" sz="1100" i="0">
                  <a:solidFill>
                    <a:schemeClr val="tx1"/>
                  </a:solidFill>
                  <a:effectLst/>
                  <a:latin typeface="Cambria Math" panose="02040503050406030204" pitchFamily="18" charset="0"/>
                  <a:ea typeface="+mn-ea"/>
                  <a:cs typeface="+mn-cs"/>
                </a:rPr>
                <a:t>∗</a:t>
              </a:r>
              <a:r>
                <a:rPr lang="zh-TW" altLang="zh-TW" sz="110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𝑖</a:t>
              </a:r>
              <a:r>
                <a:rPr lang="en-US" altLang="zh-TW" sz="1100" i="0">
                  <a:solidFill>
                    <a:schemeClr val="tx1"/>
                  </a:solidFill>
                  <a:effectLst/>
                  <a:latin typeface="Cambria Math" panose="02040503050406030204" pitchFamily="18" charset="0"/>
                  <a:ea typeface="+mn-ea"/>
                  <a:cs typeface="+mn-cs"/>
                </a:rPr>
                <a:t>∗</a:t>
              </a:r>
              <a:r>
                <a:rPr lang="el-GR" altLang="zh-TW" sz="1100" i="0">
                  <a:solidFill>
                    <a:schemeClr val="tx1"/>
                  </a:solidFill>
                  <a:effectLst/>
                  <a:latin typeface="Cambria Math" panose="02040503050406030204" pitchFamily="18" charset="0"/>
                  <a:ea typeface="+mn-ea"/>
                  <a:cs typeface="+mn-cs"/>
                </a:rPr>
                <a:t>𝜂</a:t>
              </a:r>
              <a:r>
                <a:rPr lang="zh-TW" altLang="zh-TW"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𝑝𝑢𝑙𝑙𝑒𝑦</a:t>
              </a:r>
              <a:endParaRPr lang="zh-TW" altLang="zh-TW" sz="1100">
                <a:solidFill>
                  <a:schemeClr val="tx1"/>
                </a:solidFill>
                <a:effectLst/>
                <a:latin typeface="+mn-lt"/>
                <a:ea typeface="+mn-ea"/>
                <a:cs typeface="+mn-cs"/>
              </a:endParaRPr>
            </a:p>
          </xdr:txBody>
        </xdr:sp>
      </mc:Fallback>
    </mc:AlternateContent>
    <xdr:clientData/>
  </xdr:oneCellAnchor>
  <xdr:oneCellAnchor>
    <xdr:from>
      <xdr:col>0</xdr:col>
      <xdr:colOff>623752</xdr:colOff>
      <xdr:row>14</xdr:row>
      <xdr:rowOff>12519</xdr:rowOff>
    </xdr:from>
    <xdr:ext cx="1415686" cy="346633"/>
    <mc:AlternateContent xmlns:mc="http://schemas.openxmlformats.org/markup-compatibility/2006" xmlns:a14="http://schemas.microsoft.com/office/drawing/2010/main">
      <mc:Choice Requires="a14">
        <xdr:sp macro="" textlink="">
          <xdr:nvSpPr>
            <xdr:cNvPr id="5" name="文字方塊 4">
              <a:extLst>
                <a:ext uri="{FF2B5EF4-FFF2-40B4-BE49-F238E27FC236}">
                  <a16:creationId xmlns:a16="http://schemas.microsoft.com/office/drawing/2014/main" id="{00000000-0008-0000-0200-000005000000}"/>
                </a:ext>
              </a:extLst>
            </xdr:cNvPr>
            <xdr:cNvSpPr txBox="1"/>
          </xdr:nvSpPr>
          <xdr:spPr>
            <a:xfrm>
              <a:off x="627562" y="3054804"/>
              <a:ext cx="1415686" cy="3466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100" i="1">
                            <a:latin typeface="Cambria Math" panose="02040503050406030204" pitchFamily="18" charset="0"/>
                          </a:rPr>
                        </m:ctrlPr>
                      </m:sSubPr>
                      <m:e>
                        <m:r>
                          <a:rPr lang="en-US" altLang="zh-TW" sz="1100" b="0" i="1">
                            <a:latin typeface="Cambria Math" panose="02040503050406030204" pitchFamily="18" charset="0"/>
                          </a:rPr>
                          <m:t>𝐹</m:t>
                        </m:r>
                      </m:e>
                      <m:sub>
                        <m:r>
                          <a:rPr lang="en-US" altLang="zh-TW" sz="1100" b="0" i="1">
                            <a:latin typeface="Cambria Math" panose="02040503050406030204" pitchFamily="18" charset="0"/>
                          </a:rPr>
                          <m:t>𝑎𝑥𝑖𝑎𝑙</m:t>
                        </m:r>
                      </m:sub>
                    </m:sSub>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r>
                          <a:rPr lang="en-US" altLang="zh-TW" sz="1100" b="0" i="1">
                            <a:latin typeface="Cambria Math" panose="02040503050406030204" pitchFamily="18" charset="0"/>
                            <a:ea typeface="Cambria Math" panose="02040503050406030204" pitchFamily="18" charset="0"/>
                          </a:rPr>
                          <m:t>2</m:t>
                        </m:r>
                        <m:r>
                          <a:rPr lang="zh-TW" altLang="en-US" sz="1100" b="0" i="1">
                            <a:latin typeface="Cambria Math" panose="02040503050406030204" pitchFamily="18" charset="0"/>
                            <a:ea typeface="Cambria Math" panose="02040503050406030204" pitchFamily="18" charset="0"/>
                          </a:rPr>
                          <m:t>𝜋</m:t>
                        </m:r>
                        <m:r>
                          <a:rPr lang="zh-TW" altLang="en-US" sz="1100" b="0" i="1">
                            <a:latin typeface="Cambria Math" panose="02040503050406030204" pitchFamily="18" charset="0"/>
                            <a:ea typeface="Cambria Math" panose="02040503050406030204" pitchFamily="18" charset="0"/>
                          </a:rPr>
                          <m:t>∗</m:t>
                        </m:r>
                        <m:r>
                          <a:rPr lang="el-GR" altLang="zh-TW" sz="1100" b="0" i="1">
                            <a:latin typeface="Cambria Math" panose="02040503050406030204" pitchFamily="18" charset="0"/>
                            <a:ea typeface="Cambria Math" panose="02040503050406030204" pitchFamily="18" charset="0"/>
                          </a:rPr>
                          <m:t>𝜂</m:t>
                        </m:r>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m:t>
                            </m:r>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𝑎𝑥𝑖𝑎𝑙</m:t>
                            </m:r>
                          </m:sub>
                        </m:sSub>
                      </m:num>
                      <m:den>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𝑃</m:t>
                            </m:r>
                          </m:e>
                          <m:sub>
                            <m:r>
                              <a:rPr lang="en-US" altLang="zh-TW" sz="1100" b="0" i="1">
                                <a:latin typeface="Cambria Math" panose="02040503050406030204" pitchFamily="18" charset="0"/>
                              </a:rPr>
                              <m:t>h</m:t>
                            </m:r>
                          </m:sub>
                        </m:sSub>
                      </m:den>
                    </m:f>
                  </m:oMath>
                </m:oMathPara>
              </a14:m>
              <a:endParaRPr lang="zh-TW" altLang="en-US" sz="1100"/>
            </a:p>
          </xdr:txBody>
        </xdr:sp>
      </mc:Choice>
      <mc:Fallback xmlns="">
        <xdr:sp macro="" textlink="">
          <xdr:nvSpPr>
            <xdr:cNvPr id="5" name="文字方塊 4">
              <a:extLst>
                <a:ext uri="{FF2B5EF4-FFF2-40B4-BE49-F238E27FC236}">
                  <a16:creationId xmlns:a16="http://schemas.microsoft.com/office/drawing/2014/main" id="{BD4B7DCC-D680-4F79-B3A6-3CAA469060FB}"/>
                </a:ext>
              </a:extLst>
            </xdr:cNvPr>
            <xdr:cNvSpPr txBox="1"/>
          </xdr:nvSpPr>
          <xdr:spPr>
            <a:xfrm>
              <a:off x="627562" y="3054804"/>
              <a:ext cx="1415686" cy="3466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altLang="zh-TW" sz="1100" b="0" i="0">
                  <a:latin typeface="Cambria Math" panose="02040503050406030204" pitchFamily="18" charset="0"/>
                </a:rPr>
                <a:t>𝐹_𝑎𝑥𝑖𝑎𝑙=(</a:t>
              </a:r>
              <a:r>
                <a:rPr lang="en-US" altLang="zh-TW" sz="1100" b="0" i="0">
                  <a:latin typeface="Cambria Math" panose="02040503050406030204" pitchFamily="18" charset="0"/>
                  <a:ea typeface="Cambria Math" panose="02040503050406030204" pitchFamily="18" charset="0"/>
                </a:rPr>
                <a:t>2</a:t>
              </a:r>
              <a:r>
                <a:rPr lang="zh-TW" altLang="en-US" sz="1100" b="0" i="0">
                  <a:latin typeface="Cambria Math" panose="02040503050406030204" pitchFamily="18" charset="0"/>
                  <a:ea typeface="Cambria Math" panose="02040503050406030204" pitchFamily="18" charset="0"/>
                </a:rPr>
                <a:t>𝜋∗</a:t>
              </a:r>
              <a:r>
                <a:rPr lang="el-GR" altLang="zh-TW" sz="1100" b="0" i="0">
                  <a:latin typeface="Cambria Math" panose="02040503050406030204" pitchFamily="18" charset="0"/>
                  <a:ea typeface="Cambria Math" panose="02040503050406030204" pitchFamily="18" charset="0"/>
                </a:rPr>
                <a:t>𝜂</a:t>
              </a:r>
              <a:r>
                <a:rPr lang="en-US" altLang="zh-TW" sz="1100" b="0" i="0">
                  <a:solidFill>
                    <a:schemeClr val="tx1"/>
                  </a:solidFill>
                  <a:effectLst/>
                  <a:latin typeface="Cambria Math" panose="02040503050406030204" pitchFamily="18" charset="0"/>
                  <a:ea typeface="+mn-ea"/>
                  <a:cs typeface="+mn-cs"/>
                </a:rPr>
                <a:t>〖∗𝑇〗_𝑎𝑥𝑖𝑎𝑙)/</a:t>
              </a:r>
              <a:r>
                <a:rPr lang="en-US" altLang="zh-TW" sz="1100" b="0" i="0">
                  <a:latin typeface="Cambria Math" panose="02040503050406030204" pitchFamily="18" charset="0"/>
                </a:rPr>
                <a:t>𝑃_ℎ </a:t>
              </a:r>
              <a:endParaRPr lang="zh-TW" altLang="en-US" sz="1100"/>
            </a:p>
          </xdr:txBody>
        </xdr:sp>
      </mc:Fallback>
    </mc:AlternateContent>
    <xdr:clientData/>
  </xdr:oneCellAnchor>
  <xdr:oneCellAnchor>
    <xdr:from>
      <xdr:col>1</xdr:col>
      <xdr:colOff>582658</xdr:colOff>
      <xdr:row>14</xdr:row>
      <xdr:rowOff>13061</xdr:rowOff>
    </xdr:from>
    <xdr:ext cx="2111556" cy="353302"/>
    <mc:AlternateContent xmlns:mc="http://schemas.openxmlformats.org/markup-compatibility/2006" xmlns:a14="http://schemas.microsoft.com/office/drawing/2010/main">
      <mc:Choice Requires="a14">
        <xdr:sp macro="" textlink="">
          <xdr:nvSpPr>
            <xdr:cNvPr id="6" name="文字方塊 5">
              <a:extLst>
                <a:ext uri="{FF2B5EF4-FFF2-40B4-BE49-F238E27FC236}">
                  <a16:creationId xmlns:a16="http://schemas.microsoft.com/office/drawing/2014/main" id="{00000000-0008-0000-0200-000006000000}"/>
                </a:ext>
              </a:extLst>
            </xdr:cNvPr>
            <xdr:cNvSpPr txBox="1"/>
          </xdr:nvSpPr>
          <xdr:spPr>
            <a:xfrm>
              <a:off x="2508613" y="3055346"/>
              <a:ext cx="2111556" cy="353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100" i="1">
                            <a:latin typeface="Cambria Math" panose="02040503050406030204" pitchFamily="18" charset="0"/>
                          </a:rPr>
                        </m:ctrlPr>
                      </m:sSubPr>
                      <m:e>
                        <m:r>
                          <a:rPr lang="en-US" altLang="zh-TW" sz="1100" b="0" i="1">
                            <a:latin typeface="Cambria Math" panose="02040503050406030204" pitchFamily="18" charset="0"/>
                          </a:rPr>
                          <m:t>𝐹</m:t>
                        </m:r>
                      </m:e>
                      <m:sub>
                        <m:r>
                          <a:rPr lang="en-US" altLang="zh-TW" sz="1100" b="0" i="1">
                            <a:latin typeface="Cambria Math" panose="02040503050406030204" pitchFamily="18" charset="0"/>
                          </a:rPr>
                          <m:t>𝑎𝑥𝑖𝑎𝑙</m:t>
                        </m:r>
                      </m:sub>
                    </m:sSub>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r>
                          <a:rPr lang="en-US" altLang="zh-TW" sz="1100" b="0" i="1">
                            <a:latin typeface="Cambria Math" panose="02040503050406030204" pitchFamily="18" charset="0"/>
                            <a:ea typeface="Cambria Math" panose="02040503050406030204" pitchFamily="18" charset="0"/>
                          </a:rPr>
                          <m:t>2</m:t>
                        </m:r>
                        <m:r>
                          <a:rPr lang="zh-TW" altLang="en-US" sz="1100" b="0" i="1">
                            <a:latin typeface="Cambria Math" panose="02040503050406030204" pitchFamily="18" charset="0"/>
                            <a:ea typeface="Cambria Math" panose="02040503050406030204" pitchFamily="18" charset="0"/>
                          </a:rPr>
                          <m:t>𝜋</m:t>
                        </m:r>
                        <m:r>
                          <a:rPr lang="zh-TW" altLang="en-US" sz="1100" b="0" i="1">
                            <a:latin typeface="Cambria Math" panose="02040503050406030204" pitchFamily="18" charset="0"/>
                            <a:ea typeface="Cambria Math" panose="02040503050406030204" pitchFamily="18" charset="0"/>
                          </a:rPr>
                          <m:t>∗</m:t>
                        </m:r>
                        <m:r>
                          <a:rPr lang="el-GR" altLang="zh-TW" sz="1100" b="0" i="1">
                            <a:latin typeface="Cambria Math" panose="02040503050406030204" pitchFamily="18" charset="0"/>
                            <a:ea typeface="Cambria Math" panose="02040503050406030204" pitchFamily="18" charset="0"/>
                          </a:rPr>
                          <m:t>𝜂</m:t>
                        </m:r>
                        <m:r>
                          <a:rPr lang="zh-TW" altLang="en-US" sz="1100" b="0" i="1">
                            <a:solidFill>
                              <a:schemeClr val="tx1"/>
                            </a:solidFill>
                            <a:effectLst/>
                            <a:latin typeface="Cambria Math" panose="02040503050406030204" pitchFamily="18" charset="0"/>
                            <a:ea typeface="+mn-ea"/>
                            <a:cs typeface="+mn-cs"/>
                          </a:rPr>
                          <m:t>∗</m:t>
                        </m:r>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𝑑𝑟𝑖𝑣𝑒</m:t>
                            </m:r>
                          </m:sub>
                        </m:sSub>
                        <m:r>
                          <a:rPr lang="en-US" altLang="zh-TW" sz="1100" b="0" i="1">
                            <a:solidFill>
                              <a:schemeClr val="tx1"/>
                            </a:solidFill>
                            <a:effectLst/>
                            <a:latin typeface="Cambria Math" panose="02040503050406030204" pitchFamily="18" charset="0"/>
                            <a:ea typeface="+mn-ea"/>
                            <a:cs typeface="+mn-cs"/>
                          </a:rPr>
                          <m:t>∗</m:t>
                        </m:r>
                        <m:sSub>
                          <m:sSubPr>
                            <m:ctrlPr>
                              <a:rPr lang="zh-TW" altLang="en-US"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𝑖</m:t>
                            </m:r>
                            <m:r>
                              <a:rPr lang="en-US" altLang="zh-TW" sz="1100" i="1">
                                <a:solidFill>
                                  <a:schemeClr val="tx1"/>
                                </a:solidFill>
                                <a:effectLst/>
                                <a:latin typeface="Cambria Math" panose="02040503050406030204" pitchFamily="18" charset="0"/>
                                <a:ea typeface="+mn-ea"/>
                                <a:cs typeface="+mn-cs"/>
                              </a:rPr>
                              <m:t>∗</m:t>
                            </m:r>
                            <m:r>
                              <a:rPr lang="el-GR" altLang="zh-TW" sz="1100" i="1">
                                <a:solidFill>
                                  <a:schemeClr val="tx1"/>
                                </a:solidFill>
                                <a:effectLst/>
                                <a:latin typeface="Cambria Math" panose="02040503050406030204" pitchFamily="18" charset="0"/>
                                <a:ea typeface="+mn-ea"/>
                                <a:cs typeface="+mn-cs"/>
                              </a:rPr>
                              <m:t>𝜂</m:t>
                            </m:r>
                          </m:e>
                          <m:sub>
                            <m:r>
                              <a:rPr lang="en-US" altLang="zh-TW" sz="1100" b="0" i="1">
                                <a:solidFill>
                                  <a:schemeClr val="tx1"/>
                                </a:solidFill>
                                <a:effectLst/>
                                <a:latin typeface="Cambria Math" panose="02040503050406030204" pitchFamily="18" charset="0"/>
                                <a:ea typeface="+mn-ea"/>
                                <a:cs typeface="+mn-cs"/>
                              </a:rPr>
                              <m:t>𝑝𝑢𝑙𝑙𝑒𝑦</m:t>
                            </m:r>
                          </m:sub>
                        </m:sSub>
                      </m:num>
                      <m:den>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𝑃</m:t>
                            </m:r>
                          </m:e>
                          <m:sub>
                            <m:r>
                              <a:rPr lang="en-US" altLang="zh-TW" sz="1100" b="0" i="1">
                                <a:latin typeface="Cambria Math" panose="02040503050406030204" pitchFamily="18" charset="0"/>
                              </a:rPr>
                              <m:t>h</m:t>
                            </m:r>
                          </m:sub>
                        </m:sSub>
                      </m:den>
                    </m:f>
                  </m:oMath>
                </m:oMathPara>
              </a14:m>
              <a:endParaRPr lang="zh-TW" altLang="en-US" sz="1100"/>
            </a:p>
          </xdr:txBody>
        </xdr:sp>
      </mc:Choice>
      <mc:Fallback xmlns="">
        <xdr:sp macro="" textlink="">
          <xdr:nvSpPr>
            <xdr:cNvPr id="6" name="文字方塊 5">
              <a:extLst>
                <a:ext uri="{FF2B5EF4-FFF2-40B4-BE49-F238E27FC236}">
                  <a16:creationId xmlns:a16="http://schemas.microsoft.com/office/drawing/2014/main" id="{8D297CFF-7265-4FBC-8B37-D16F64865822}"/>
                </a:ext>
              </a:extLst>
            </xdr:cNvPr>
            <xdr:cNvSpPr txBox="1"/>
          </xdr:nvSpPr>
          <xdr:spPr>
            <a:xfrm>
              <a:off x="2508613" y="3055346"/>
              <a:ext cx="2111556" cy="353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altLang="zh-TW" sz="1100" b="0" i="0">
                  <a:latin typeface="Cambria Math" panose="02040503050406030204" pitchFamily="18" charset="0"/>
                </a:rPr>
                <a:t>𝐹_𝑎𝑥𝑖𝑎𝑙=(</a:t>
              </a:r>
              <a:r>
                <a:rPr lang="en-US" altLang="zh-TW" sz="1100" b="0" i="0">
                  <a:latin typeface="Cambria Math" panose="02040503050406030204" pitchFamily="18" charset="0"/>
                  <a:ea typeface="Cambria Math" panose="02040503050406030204" pitchFamily="18" charset="0"/>
                </a:rPr>
                <a:t>2</a:t>
              </a:r>
              <a:r>
                <a:rPr lang="zh-TW" altLang="en-US" sz="1100" b="0" i="0">
                  <a:latin typeface="Cambria Math" panose="02040503050406030204" pitchFamily="18" charset="0"/>
                  <a:ea typeface="Cambria Math" panose="02040503050406030204" pitchFamily="18" charset="0"/>
                </a:rPr>
                <a:t>𝜋∗</a:t>
              </a:r>
              <a:r>
                <a:rPr lang="el-GR" altLang="zh-TW" sz="1100" b="0" i="0">
                  <a:latin typeface="Cambria Math" panose="02040503050406030204" pitchFamily="18" charset="0"/>
                  <a:ea typeface="Cambria Math" panose="02040503050406030204" pitchFamily="18" charset="0"/>
                </a:rPr>
                <a:t>𝜂</a:t>
              </a:r>
              <a:r>
                <a:rPr lang="zh-TW" altLang="en-US" sz="1100" b="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𝑇_𝑑𝑟𝑖𝑣𝑒∗</a:t>
              </a:r>
              <a:r>
                <a:rPr lang="zh-TW" altLang="en-US" sz="1100" b="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𝑖</a:t>
              </a:r>
              <a:r>
                <a:rPr lang="en-US" altLang="zh-TW" sz="1100" i="0">
                  <a:solidFill>
                    <a:schemeClr val="tx1"/>
                  </a:solidFill>
                  <a:effectLst/>
                  <a:latin typeface="Cambria Math" panose="02040503050406030204" pitchFamily="18" charset="0"/>
                  <a:ea typeface="+mn-ea"/>
                  <a:cs typeface="+mn-cs"/>
                </a:rPr>
                <a:t>∗</a:t>
              </a:r>
              <a:r>
                <a:rPr lang="el-GR" altLang="zh-TW" sz="1100" i="0">
                  <a:solidFill>
                    <a:schemeClr val="tx1"/>
                  </a:solidFill>
                  <a:effectLst/>
                  <a:latin typeface="Cambria Math" panose="02040503050406030204" pitchFamily="18" charset="0"/>
                  <a:ea typeface="+mn-ea"/>
                  <a:cs typeface="+mn-cs"/>
                </a:rPr>
                <a:t>𝜂</a:t>
              </a:r>
              <a:r>
                <a:rPr lang="zh-TW" altLang="en-US"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𝑝𝑢𝑙𝑙𝑒𝑦)/</a:t>
              </a:r>
              <a:r>
                <a:rPr lang="en-US" altLang="zh-TW" sz="1100" b="0" i="0">
                  <a:latin typeface="Cambria Math" panose="02040503050406030204" pitchFamily="18" charset="0"/>
                </a:rPr>
                <a:t>𝑃_ℎ </a:t>
              </a:r>
              <a:endParaRPr lang="zh-TW" altLang="en-US"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259080</xdr:colOff>
          <xdr:row>143</xdr:row>
          <xdr:rowOff>0</xdr:rowOff>
        </xdr:from>
        <xdr:to>
          <xdr:col>0</xdr:col>
          <xdr:colOff>693420</xdr:colOff>
          <xdr:row>143</xdr:row>
          <xdr:rowOff>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300-000001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60960</xdr:colOff>
          <xdr:row>130</xdr:row>
          <xdr:rowOff>114300</xdr:rowOff>
        </xdr:from>
        <xdr:to>
          <xdr:col>1</xdr:col>
          <xdr:colOff>510540</xdr:colOff>
          <xdr:row>131</xdr:row>
          <xdr:rowOff>106680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300-000002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60960</xdr:colOff>
          <xdr:row>134</xdr:row>
          <xdr:rowOff>15240</xdr:rowOff>
        </xdr:from>
        <xdr:to>
          <xdr:col>1</xdr:col>
          <xdr:colOff>266700</xdr:colOff>
          <xdr:row>136</xdr:row>
          <xdr:rowOff>68580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300-000003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22860</xdr:colOff>
          <xdr:row>146</xdr:row>
          <xdr:rowOff>15240</xdr:rowOff>
        </xdr:from>
        <xdr:to>
          <xdr:col>0</xdr:col>
          <xdr:colOff>594360</xdr:colOff>
          <xdr:row>148</xdr:row>
          <xdr:rowOff>7620</xdr:rowOff>
        </xdr:to>
        <xdr:sp macro="" textlink="">
          <xdr:nvSpPr>
            <xdr:cNvPr id="2052" name="Object 4" hidden="1">
              <a:extLst>
                <a:ext uri="{63B3BB69-23CF-44E3-9099-C40C66FF867C}">
                  <a14:compatExt spid="_x0000_s2052"/>
                </a:ext>
                <a:ext uri="{FF2B5EF4-FFF2-40B4-BE49-F238E27FC236}">
                  <a16:creationId xmlns:a16="http://schemas.microsoft.com/office/drawing/2014/main" id="{00000000-0008-0000-0300-000004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xdr:colOff>
          <xdr:row>149</xdr:row>
          <xdr:rowOff>0</xdr:rowOff>
        </xdr:from>
        <xdr:to>
          <xdr:col>0</xdr:col>
          <xdr:colOff>678180</xdr:colOff>
          <xdr:row>149</xdr:row>
          <xdr:rowOff>15240</xdr:rowOff>
        </xdr:to>
        <xdr:sp macro="" textlink="">
          <xdr:nvSpPr>
            <xdr:cNvPr id="2059" name="Object 11" hidden="1">
              <a:extLst>
                <a:ext uri="{63B3BB69-23CF-44E3-9099-C40C66FF867C}">
                  <a14:compatExt spid="_x0000_s2059"/>
                </a:ext>
                <a:ext uri="{FF2B5EF4-FFF2-40B4-BE49-F238E27FC236}">
                  <a16:creationId xmlns:a16="http://schemas.microsoft.com/office/drawing/2014/main" id="{00000000-0008-0000-0300-00000B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53340</xdr:colOff>
          <xdr:row>89</xdr:row>
          <xdr:rowOff>15240</xdr:rowOff>
        </xdr:from>
        <xdr:to>
          <xdr:col>0</xdr:col>
          <xdr:colOff>944880</xdr:colOff>
          <xdr:row>91</xdr:row>
          <xdr:rowOff>0</xdr:rowOff>
        </xdr:to>
        <xdr:sp macro="" textlink="">
          <xdr:nvSpPr>
            <xdr:cNvPr id="2061" name="Object 13" hidden="1">
              <a:extLst>
                <a:ext uri="{63B3BB69-23CF-44E3-9099-C40C66FF867C}">
                  <a14:compatExt spid="_x0000_s2061"/>
                </a:ext>
                <a:ext uri="{FF2B5EF4-FFF2-40B4-BE49-F238E27FC236}">
                  <a16:creationId xmlns:a16="http://schemas.microsoft.com/office/drawing/2014/main" id="{00000000-0008-0000-0300-00000D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xdr:colOff>
          <xdr:row>84</xdr:row>
          <xdr:rowOff>22860</xdr:rowOff>
        </xdr:from>
        <xdr:to>
          <xdr:col>0</xdr:col>
          <xdr:colOff>434340</xdr:colOff>
          <xdr:row>86</xdr:row>
          <xdr:rowOff>0</xdr:rowOff>
        </xdr:to>
        <xdr:sp macro="" textlink="">
          <xdr:nvSpPr>
            <xdr:cNvPr id="2062" name="Object 14" hidden="1">
              <a:extLst>
                <a:ext uri="{63B3BB69-23CF-44E3-9099-C40C66FF867C}">
                  <a14:compatExt spid="_x0000_s2062"/>
                </a:ext>
                <a:ext uri="{FF2B5EF4-FFF2-40B4-BE49-F238E27FC236}">
                  <a16:creationId xmlns:a16="http://schemas.microsoft.com/office/drawing/2014/main" id="{00000000-0008-0000-0300-00000E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xdr:colOff>
          <xdr:row>104</xdr:row>
          <xdr:rowOff>7620</xdr:rowOff>
        </xdr:from>
        <xdr:to>
          <xdr:col>0</xdr:col>
          <xdr:colOff>746760</xdr:colOff>
          <xdr:row>105</xdr:row>
          <xdr:rowOff>144780</xdr:rowOff>
        </xdr:to>
        <xdr:sp macro="" textlink="">
          <xdr:nvSpPr>
            <xdr:cNvPr id="2063" name="Object 15" hidden="1">
              <a:extLst>
                <a:ext uri="{63B3BB69-23CF-44E3-9099-C40C66FF867C}">
                  <a14:compatExt spid="_x0000_s2063"/>
                </a:ext>
                <a:ext uri="{FF2B5EF4-FFF2-40B4-BE49-F238E27FC236}">
                  <a16:creationId xmlns:a16="http://schemas.microsoft.com/office/drawing/2014/main" id="{00000000-0008-0000-0300-00000F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22860</xdr:colOff>
          <xdr:row>102</xdr:row>
          <xdr:rowOff>15240</xdr:rowOff>
        </xdr:from>
        <xdr:to>
          <xdr:col>0</xdr:col>
          <xdr:colOff>655320</xdr:colOff>
          <xdr:row>103</xdr:row>
          <xdr:rowOff>160020</xdr:rowOff>
        </xdr:to>
        <xdr:sp macro="" textlink="">
          <xdr:nvSpPr>
            <xdr:cNvPr id="2064" name="Object 16" hidden="1">
              <a:extLst>
                <a:ext uri="{63B3BB69-23CF-44E3-9099-C40C66FF867C}">
                  <a14:compatExt spid="_x0000_s2064"/>
                </a:ext>
                <a:ext uri="{FF2B5EF4-FFF2-40B4-BE49-F238E27FC236}">
                  <a16:creationId xmlns:a16="http://schemas.microsoft.com/office/drawing/2014/main" id="{00000000-0008-0000-0300-000010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22860</xdr:colOff>
          <xdr:row>120</xdr:row>
          <xdr:rowOff>15240</xdr:rowOff>
        </xdr:from>
        <xdr:to>
          <xdr:col>4</xdr:col>
          <xdr:colOff>281940</xdr:colOff>
          <xdr:row>122</xdr:row>
          <xdr:rowOff>30480</xdr:rowOff>
        </xdr:to>
        <xdr:sp macro="" textlink="">
          <xdr:nvSpPr>
            <xdr:cNvPr id="2065" name="Object 17" hidden="1">
              <a:extLst>
                <a:ext uri="{63B3BB69-23CF-44E3-9099-C40C66FF867C}">
                  <a14:compatExt spid="_x0000_s2065"/>
                </a:ext>
                <a:ext uri="{FF2B5EF4-FFF2-40B4-BE49-F238E27FC236}">
                  <a16:creationId xmlns:a16="http://schemas.microsoft.com/office/drawing/2014/main" id="{00000000-0008-0000-0300-000011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22860</xdr:colOff>
          <xdr:row>58</xdr:row>
          <xdr:rowOff>15240</xdr:rowOff>
        </xdr:from>
        <xdr:to>
          <xdr:col>1</xdr:col>
          <xdr:colOff>327660</xdr:colOff>
          <xdr:row>60</xdr:row>
          <xdr:rowOff>15240</xdr:rowOff>
        </xdr:to>
        <xdr:sp macro="" textlink="">
          <xdr:nvSpPr>
            <xdr:cNvPr id="2066" name="Object 18" hidden="1">
              <a:extLst>
                <a:ext uri="{63B3BB69-23CF-44E3-9099-C40C66FF867C}">
                  <a14:compatExt spid="_x0000_s2066"/>
                </a:ext>
                <a:ext uri="{FF2B5EF4-FFF2-40B4-BE49-F238E27FC236}">
                  <a16:creationId xmlns:a16="http://schemas.microsoft.com/office/drawing/2014/main" id="{00000000-0008-0000-0300-000012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7620</xdr:colOff>
          <xdr:row>116</xdr:row>
          <xdr:rowOff>15240</xdr:rowOff>
        </xdr:from>
        <xdr:to>
          <xdr:col>1</xdr:col>
          <xdr:colOff>0</xdr:colOff>
          <xdr:row>117</xdr:row>
          <xdr:rowOff>144780</xdr:rowOff>
        </xdr:to>
        <xdr:sp macro="" textlink="">
          <xdr:nvSpPr>
            <xdr:cNvPr id="2067" name="Object 19" hidden="1">
              <a:extLst>
                <a:ext uri="{63B3BB69-23CF-44E3-9099-C40C66FF867C}">
                  <a14:compatExt spid="_x0000_s2067"/>
                </a:ext>
                <a:ext uri="{FF2B5EF4-FFF2-40B4-BE49-F238E27FC236}">
                  <a16:creationId xmlns:a16="http://schemas.microsoft.com/office/drawing/2014/main" id="{00000000-0008-0000-0300-000013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7620</xdr:colOff>
          <xdr:row>120</xdr:row>
          <xdr:rowOff>15240</xdr:rowOff>
        </xdr:from>
        <xdr:to>
          <xdr:col>1</xdr:col>
          <xdr:colOff>861060</xdr:colOff>
          <xdr:row>122</xdr:row>
          <xdr:rowOff>22860</xdr:rowOff>
        </xdr:to>
        <xdr:sp macro="" textlink="">
          <xdr:nvSpPr>
            <xdr:cNvPr id="2068" name="Object 20" hidden="1">
              <a:extLst>
                <a:ext uri="{63B3BB69-23CF-44E3-9099-C40C66FF867C}">
                  <a14:compatExt spid="_x0000_s2068"/>
                </a:ext>
                <a:ext uri="{FF2B5EF4-FFF2-40B4-BE49-F238E27FC236}">
                  <a16:creationId xmlns:a16="http://schemas.microsoft.com/office/drawing/2014/main" id="{00000000-0008-0000-0300-000014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oneCellAnchor>
    <xdr:from>
      <xdr:col>0</xdr:col>
      <xdr:colOff>366462</xdr:colOff>
      <xdr:row>11</xdr:row>
      <xdr:rowOff>29878</xdr:rowOff>
    </xdr:from>
    <xdr:ext cx="667182" cy="369971"/>
    <mc:AlternateContent xmlns:mc="http://schemas.openxmlformats.org/markup-compatibility/2006" xmlns:a14="http://schemas.microsoft.com/office/drawing/2010/main">
      <mc:Choice Requires="a14">
        <xdr:sp macro="" textlink="">
          <xdr:nvSpPr>
            <xdr:cNvPr id="2" name="文字方塊 1">
              <a:extLst>
                <a:ext uri="{FF2B5EF4-FFF2-40B4-BE49-F238E27FC236}">
                  <a16:creationId xmlns:a16="http://schemas.microsoft.com/office/drawing/2014/main" id="{00000000-0008-0000-0400-000002000000}"/>
                </a:ext>
              </a:extLst>
            </xdr:cNvPr>
            <xdr:cNvSpPr txBox="1"/>
          </xdr:nvSpPr>
          <xdr:spPr>
            <a:xfrm>
              <a:off x="366462" y="2586589"/>
              <a:ext cx="667182" cy="369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n-US" altLang="zh-TW" sz="1100" b="0" i="1">
                        <a:latin typeface="Cambria Math" panose="02040503050406030204" pitchFamily="18" charset="0"/>
                      </a:rPr>
                      <m:t>𝑖</m:t>
                    </m:r>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𝑁</m:t>
                            </m:r>
                          </m:e>
                          <m:sub>
                            <m:r>
                              <a:rPr lang="en-US" altLang="zh-TW" sz="1100" b="0" i="1">
                                <a:latin typeface="Cambria Math" panose="02040503050406030204" pitchFamily="18" charset="0"/>
                              </a:rPr>
                              <m:t>2</m:t>
                            </m:r>
                          </m:sub>
                        </m:sSub>
                      </m:num>
                      <m:den>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𝑁</m:t>
                            </m:r>
                          </m:e>
                          <m:sub>
                            <m:r>
                              <a:rPr lang="en-US" altLang="zh-TW" sz="1100" b="0" i="1">
                                <a:latin typeface="Cambria Math" panose="02040503050406030204" pitchFamily="18" charset="0"/>
                              </a:rPr>
                              <m:t>1</m:t>
                            </m:r>
                          </m:sub>
                        </m:sSub>
                      </m:den>
                    </m:f>
                  </m:oMath>
                </m:oMathPara>
              </a14:m>
              <a:endParaRPr lang="zh-TW" altLang="en-US" sz="1100"/>
            </a:p>
          </xdr:txBody>
        </xdr:sp>
      </mc:Choice>
      <mc:Fallback xmlns="">
        <xdr:sp macro="" textlink="">
          <xdr:nvSpPr>
            <xdr:cNvPr id="2" name="文字方塊 1">
              <a:extLst>
                <a:ext uri="{FF2B5EF4-FFF2-40B4-BE49-F238E27FC236}">
                  <a16:creationId xmlns:a16="http://schemas.microsoft.com/office/drawing/2014/main" id="{00000000-0008-0000-0100-000002000000}"/>
                </a:ext>
              </a:extLst>
            </xdr:cNvPr>
            <xdr:cNvSpPr txBox="1"/>
          </xdr:nvSpPr>
          <xdr:spPr>
            <a:xfrm>
              <a:off x="366462" y="2586589"/>
              <a:ext cx="667182" cy="369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altLang="zh-TW" sz="1100" b="0" i="0">
                  <a:latin typeface="Cambria Math" panose="02040503050406030204" pitchFamily="18" charset="0"/>
                </a:rPr>
                <a:t>𝑖=𝑁_2/𝑁_1 </a:t>
              </a:r>
              <a:endParaRPr lang="zh-TW" altLang="en-US" sz="1100"/>
            </a:p>
          </xdr:txBody>
        </xdr:sp>
      </mc:Fallback>
    </mc:AlternateContent>
    <xdr:clientData/>
  </xdr:oneCellAnchor>
  <xdr:oneCellAnchor>
    <xdr:from>
      <xdr:col>5</xdr:col>
      <xdr:colOff>263893</xdr:colOff>
      <xdr:row>15</xdr:row>
      <xdr:rowOff>18447</xdr:rowOff>
    </xdr:from>
    <xdr:ext cx="1711292" cy="364395"/>
    <mc:AlternateContent xmlns:mc="http://schemas.openxmlformats.org/markup-compatibility/2006" xmlns:a14="http://schemas.microsoft.com/office/drawing/2010/main">
      <mc:Choice Requires="a14">
        <xdr:sp macro="" textlink="">
          <xdr:nvSpPr>
            <xdr:cNvPr id="3" name="文字方塊 2">
              <a:extLst>
                <a:ext uri="{FF2B5EF4-FFF2-40B4-BE49-F238E27FC236}">
                  <a16:creationId xmlns:a16="http://schemas.microsoft.com/office/drawing/2014/main" id="{00000000-0008-0000-0400-000003000000}"/>
                </a:ext>
              </a:extLst>
            </xdr:cNvPr>
            <xdr:cNvSpPr txBox="1"/>
          </xdr:nvSpPr>
          <xdr:spPr>
            <a:xfrm>
              <a:off x="4931143" y="3216842"/>
              <a:ext cx="1711292" cy="364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𝑑𝑟𝑖𝑣𝑒</m:t>
                        </m:r>
                      </m:sub>
                    </m:sSub>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𝐹</m:t>
                            </m:r>
                          </m:e>
                          <m:sub>
                            <m:r>
                              <a:rPr lang="en-US" altLang="zh-TW" sz="1100" b="0" i="1">
                                <a:solidFill>
                                  <a:schemeClr val="tx1"/>
                                </a:solidFill>
                                <a:effectLst/>
                                <a:latin typeface="Cambria Math" panose="02040503050406030204" pitchFamily="18" charset="0"/>
                                <a:ea typeface="+mn-ea"/>
                                <a:cs typeface="+mn-cs"/>
                              </a:rPr>
                              <m:t>𝑎𝑥𝑖𝑎𝑙</m:t>
                            </m:r>
                          </m:sub>
                        </m:sSub>
                        <m:r>
                          <a:rPr lang="en-US" altLang="zh-TW" sz="1100" b="0" i="1">
                            <a:solidFill>
                              <a:schemeClr val="tx1"/>
                            </a:solidFill>
                            <a:effectLst/>
                            <a:latin typeface="Cambria Math" panose="02040503050406030204" pitchFamily="18" charset="0"/>
                            <a:ea typeface="+mn-ea"/>
                            <a:cs typeface="+mn-cs"/>
                          </a:rPr>
                          <m:t>∗</m:t>
                        </m:r>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𝑃</m:t>
                            </m:r>
                          </m:e>
                          <m:sub>
                            <m:r>
                              <a:rPr lang="en-US" altLang="zh-TW" sz="1100" b="0" i="1">
                                <a:solidFill>
                                  <a:schemeClr val="tx1"/>
                                </a:solidFill>
                                <a:effectLst/>
                                <a:latin typeface="Cambria Math" panose="02040503050406030204" pitchFamily="18" charset="0"/>
                                <a:ea typeface="+mn-ea"/>
                                <a:cs typeface="+mn-cs"/>
                              </a:rPr>
                              <m:t>h</m:t>
                            </m:r>
                          </m:sub>
                        </m:sSub>
                      </m:num>
                      <m:den>
                        <m:r>
                          <a:rPr lang="en-US" altLang="zh-TW" sz="1100" b="0" i="1">
                            <a:solidFill>
                              <a:schemeClr val="tx1"/>
                            </a:solidFill>
                            <a:effectLst/>
                            <a:latin typeface="Cambria Math" panose="02040503050406030204" pitchFamily="18" charset="0"/>
                            <a:ea typeface="+mn-ea"/>
                            <a:cs typeface="+mn-cs"/>
                          </a:rPr>
                          <m:t>2</m:t>
                        </m:r>
                        <m:r>
                          <a:rPr lang="zh-TW" altLang="en-US" sz="1100" b="0" i="1">
                            <a:solidFill>
                              <a:schemeClr val="tx1"/>
                            </a:solidFill>
                            <a:effectLst/>
                            <a:latin typeface="Cambria Math" panose="02040503050406030204" pitchFamily="18" charset="0"/>
                            <a:ea typeface="+mn-ea"/>
                            <a:cs typeface="+mn-cs"/>
                          </a:rPr>
                          <m:t>𝜋</m:t>
                        </m:r>
                        <m:r>
                          <a:rPr lang="zh-TW" altLang="en-US" sz="1100" b="0" i="1">
                            <a:solidFill>
                              <a:schemeClr val="tx1"/>
                            </a:solidFill>
                            <a:effectLst/>
                            <a:latin typeface="Cambria Math" panose="02040503050406030204" pitchFamily="18" charset="0"/>
                            <a:ea typeface="+mn-ea"/>
                            <a:cs typeface="+mn-cs"/>
                          </a:rPr>
                          <m:t>∗</m:t>
                        </m:r>
                        <m:r>
                          <a:rPr lang="el-GR" altLang="zh-TW" sz="1100" b="0" i="1">
                            <a:solidFill>
                              <a:schemeClr val="tx1"/>
                            </a:solidFill>
                            <a:effectLst/>
                            <a:latin typeface="Cambria Math" panose="02040503050406030204" pitchFamily="18" charset="0"/>
                            <a:ea typeface="+mn-ea"/>
                            <a:cs typeface="+mn-cs"/>
                          </a:rPr>
                          <m:t>𝜂</m:t>
                        </m:r>
                        <m:r>
                          <a:rPr lang="zh-TW" altLang="en-US" sz="1100" b="0" i="1">
                            <a:solidFill>
                              <a:schemeClr val="tx1"/>
                            </a:solidFill>
                            <a:effectLst/>
                            <a:latin typeface="Cambria Math" panose="02040503050406030204" pitchFamily="18" charset="0"/>
                            <a:ea typeface="+mn-ea"/>
                            <a:cs typeface="+mn-cs"/>
                          </a:rPr>
                          <m:t>∗</m:t>
                        </m:r>
                        <m:sSub>
                          <m:sSubPr>
                            <m:ctrlPr>
                              <a:rPr lang="zh-TW" altLang="en-US"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𝑖</m:t>
                            </m:r>
                            <m:r>
                              <a:rPr lang="en-US" altLang="zh-TW" sz="1100" i="1">
                                <a:solidFill>
                                  <a:schemeClr val="tx1"/>
                                </a:solidFill>
                                <a:effectLst/>
                                <a:latin typeface="Cambria Math" panose="02040503050406030204" pitchFamily="18" charset="0"/>
                                <a:ea typeface="+mn-ea"/>
                                <a:cs typeface="+mn-cs"/>
                              </a:rPr>
                              <m:t>∗</m:t>
                            </m:r>
                            <m:r>
                              <a:rPr lang="el-GR" altLang="zh-TW" sz="1100" i="1">
                                <a:solidFill>
                                  <a:schemeClr val="tx1"/>
                                </a:solidFill>
                                <a:effectLst/>
                                <a:latin typeface="Cambria Math" panose="02040503050406030204" pitchFamily="18" charset="0"/>
                                <a:ea typeface="+mn-ea"/>
                                <a:cs typeface="+mn-cs"/>
                              </a:rPr>
                              <m:t>𝜂</m:t>
                            </m:r>
                          </m:e>
                          <m:sub>
                            <m:r>
                              <a:rPr lang="en-US" altLang="zh-TW" sz="1100" b="0" i="1">
                                <a:solidFill>
                                  <a:schemeClr val="tx1"/>
                                </a:solidFill>
                                <a:effectLst/>
                                <a:latin typeface="Cambria Math" panose="02040503050406030204" pitchFamily="18" charset="0"/>
                                <a:ea typeface="+mn-ea"/>
                                <a:cs typeface="+mn-cs"/>
                              </a:rPr>
                              <m:t>𝑝𝑢𝑙𝑙𝑒𝑦</m:t>
                            </m:r>
                          </m:sub>
                        </m:sSub>
                      </m:den>
                    </m:f>
                  </m:oMath>
                </m:oMathPara>
              </a14:m>
              <a:endParaRPr lang="zh-TW" altLang="en-US" sz="1100"/>
            </a:p>
          </xdr:txBody>
        </xdr:sp>
      </mc:Choice>
      <mc:Fallback xmlns="">
        <xdr:sp macro="" textlink="">
          <xdr:nvSpPr>
            <xdr:cNvPr id="3" name="文字方塊 2">
              <a:extLst>
                <a:ext uri="{FF2B5EF4-FFF2-40B4-BE49-F238E27FC236}">
                  <a16:creationId xmlns:a16="http://schemas.microsoft.com/office/drawing/2014/main" id="{00000000-0008-0000-0100-000003000000}"/>
                </a:ext>
              </a:extLst>
            </xdr:cNvPr>
            <xdr:cNvSpPr txBox="1"/>
          </xdr:nvSpPr>
          <xdr:spPr>
            <a:xfrm>
              <a:off x="4931143" y="3216842"/>
              <a:ext cx="1711292" cy="364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altLang="zh-TW" sz="1100" b="0" i="0">
                  <a:solidFill>
                    <a:schemeClr val="tx1"/>
                  </a:solidFill>
                  <a:effectLst/>
                  <a:latin typeface="Cambria Math" panose="02040503050406030204" pitchFamily="18" charset="0"/>
                  <a:ea typeface="+mn-ea"/>
                  <a:cs typeface="+mn-cs"/>
                </a:rPr>
                <a:t>𝑇_𝑑𝑟𝑖𝑣𝑒</a:t>
              </a:r>
              <a:r>
                <a:rPr lang="en-US" altLang="zh-TW" sz="1100" b="0" i="0">
                  <a:latin typeface="Cambria Math" panose="02040503050406030204" pitchFamily="18" charset="0"/>
                </a:rPr>
                <a:t>=(</a:t>
              </a:r>
              <a:r>
                <a:rPr lang="en-US" altLang="zh-TW" sz="1100" b="0" i="0">
                  <a:solidFill>
                    <a:schemeClr val="tx1"/>
                  </a:solidFill>
                  <a:effectLst/>
                  <a:latin typeface="Cambria Math" panose="02040503050406030204" pitchFamily="18" charset="0"/>
                  <a:ea typeface="+mn-ea"/>
                  <a:cs typeface="+mn-cs"/>
                </a:rPr>
                <a:t>𝐹_𝑎𝑥𝑖𝑎𝑙∗𝑃_ℎ)/(2</a:t>
              </a:r>
              <a:r>
                <a:rPr lang="zh-TW" altLang="en-US" sz="1100" b="0" i="0">
                  <a:solidFill>
                    <a:schemeClr val="tx1"/>
                  </a:solidFill>
                  <a:effectLst/>
                  <a:latin typeface="Cambria Math" panose="02040503050406030204" pitchFamily="18" charset="0"/>
                  <a:ea typeface="+mn-ea"/>
                  <a:cs typeface="+mn-cs"/>
                </a:rPr>
                <a:t>𝜋∗</a:t>
              </a:r>
              <a:r>
                <a:rPr lang="el-GR" altLang="zh-TW" sz="1100" b="0" i="0">
                  <a:solidFill>
                    <a:schemeClr val="tx1"/>
                  </a:solidFill>
                  <a:effectLst/>
                  <a:latin typeface="Cambria Math" panose="02040503050406030204" pitchFamily="18" charset="0"/>
                  <a:ea typeface="+mn-ea"/>
                  <a:cs typeface="+mn-cs"/>
                </a:rPr>
                <a:t>𝜂</a:t>
              </a:r>
              <a:r>
                <a:rPr lang="zh-TW" altLang="en-US" sz="1100" b="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𝑖</a:t>
              </a:r>
              <a:r>
                <a:rPr lang="en-US" altLang="zh-TW" sz="1100" i="0">
                  <a:solidFill>
                    <a:schemeClr val="tx1"/>
                  </a:solidFill>
                  <a:effectLst/>
                  <a:latin typeface="Cambria Math" panose="02040503050406030204" pitchFamily="18" charset="0"/>
                  <a:ea typeface="+mn-ea"/>
                  <a:cs typeface="+mn-cs"/>
                </a:rPr>
                <a:t>∗</a:t>
              </a:r>
              <a:r>
                <a:rPr lang="el-GR" altLang="zh-TW" sz="1100" i="0">
                  <a:solidFill>
                    <a:schemeClr val="tx1"/>
                  </a:solidFill>
                  <a:effectLst/>
                  <a:latin typeface="Cambria Math" panose="02040503050406030204" pitchFamily="18" charset="0"/>
                  <a:ea typeface="+mn-ea"/>
                  <a:cs typeface="+mn-cs"/>
                </a:rPr>
                <a:t>𝜂</a:t>
              </a:r>
              <a:r>
                <a:rPr lang="zh-TW" altLang="en-US"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𝑝𝑢𝑙𝑙𝑒𝑦 )</a:t>
              </a:r>
              <a:endParaRPr lang="zh-TW" altLang="en-US" sz="1100"/>
            </a:p>
          </xdr:txBody>
        </xdr:sp>
      </mc:Fallback>
    </mc:AlternateContent>
    <xdr:clientData/>
  </xdr:oneCellAnchor>
  <xdr:oneCellAnchor>
    <xdr:from>
      <xdr:col>0</xdr:col>
      <xdr:colOff>284646</xdr:colOff>
      <xdr:row>15</xdr:row>
      <xdr:rowOff>97657</xdr:rowOff>
    </xdr:from>
    <xdr:ext cx="1584123" cy="240632"/>
    <mc:AlternateContent xmlns:mc="http://schemas.openxmlformats.org/markup-compatibility/2006" xmlns:a14="http://schemas.microsoft.com/office/drawing/2010/main">
      <mc:Choice Requires="a14">
        <xdr:sp macro="" textlink="">
          <xdr:nvSpPr>
            <xdr:cNvPr id="4" name="文字方塊 3">
              <a:extLst>
                <a:ext uri="{FF2B5EF4-FFF2-40B4-BE49-F238E27FC236}">
                  <a16:creationId xmlns:a16="http://schemas.microsoft.com/office/drawing/2014/main" id="{00000000-0008-0000-0400-000004000000}"/>
                </a:ext>
              </a:extLst>
            </xdr:cNvPr>
            <xdr:cNvSpPr txBox="1"/>
          </xdr:nvSpPr>
          <xdr:spPr>
            <a:xfrm>
              <a:off x="284646" y="3296052"/>
              <a:ext cx="1584123" cy="24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zh-TW" altLang="zh-TW" sz="1100" i="1">
                            <a:solidFill>
                              <a:schemeClr val="tx1"/>
                            </a:solidFill>
                            <a:effectLst/>
                            <a:latin typeface="Cambria Math" panose="02040503050406030204" pitchFamily="18" charset="0"/>
                            <a:ea typeface="+mn-ea"/>
                            <a:cs typeface="+mn-cs"/>
                          </a:rPr>
                        </m:ctrlPr>
                      </m:sSubPr>
                      <m:e>
                        <m:r>
                          <a:rPr lang="en-US" altLang="zh-TW" sz="110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𝑎𝑥𝑖𝑎𝑙</m:t>
                        </m:r>
                      </m:sub>
                    </m:sSub>
                    <m:r>
                      <a:rPr lang="en-US" altLang="zh-TW" sz="1100" i="1">
                        <a:solidFill>
                          <a:schemeClr val="tx1"/>
                        </a:solidFill>
                        <a:effectLst/>
                        <a:latin typeface="Cambria Math" panose="02040503050406030204" pitchFamily="18" charset="0"/>
                        <a:ea typeface="+mn-ea"/>
                        <a:cs typeface="+mn-cs"/>
                      </a:rPr>
                      <m:t>=</m:t>
                    </m:r>
                    <m:sSub>
                      <m:sSubPr>
                        <m:ctrlPr>
                          <a:rPr lang="zh-TW" altLang="zh-TW"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𝑑𝑟𝑖𝑣𝑒</m:t>
                        </m:r>
                      </m:sub>
                    </m:sSub>
                    <m:r>
                      <a:rPr lang="en-US" altLang="zh-TW" sz="1100" i="1">
                        <a:solidFill>
                          <a:schemeClr val="tx1"/>
                        </a:solidFill>
                        <a:effectLst/>
                        <a:latin typeface="Cambria Math" panose="02040503050406030204" pitchFamily="18" charset="0"/>
                        <a:ea typeface="+mn-ea"/>
                        <a:cs typeface="+mn-cs"/>
                      </a:rPr>
                      <m:t>∗</m:t>
                    </m:r>
                    <m:sSub>
                      <m:sSubPr>
                        <m:ctrlPr>
                          <a:rPr lang="zh-TW" altLang="zh-TW"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𝑖</m:t>
                        </m:r>
                        <m:r>
                          <a:rPr lang="en-US" altLang="zh-TW" sz="1100" i="1">
                            <a:solidFill>
                              <a:schemeClr val="tx1"/>
                            </a:solidFill>
                            <a:effectLst/>
                            <a:latin typeface="Cambria Math" panose="02040503050406030204" pitchFamily="18" charset="0"/>
                            <a:ea typeface="+mn-ea"/>
                            <a:cs typeface="+mn-cs"/>
                          </a:rPr>
                          <m:t>∗</m:t>
                        </m:r>
                        <m:r>
                          <a:rPr lang="el-GR" altLang="zh-TW" sz="1100" i="1">
                            <a:solidFill>
                              <a:schemeClr val="tx1"/>
                            </a:solidFill>
                            <a:effectLst/>
                            <a:latin typeface="Cambria Math" panose="02040503050406030204" pitchFamily="18" charset="0"/>
                            <a:ea typeface="+mn-ea"/>
                            <a:cs typeface="+mn-cs"/>
                          </a:rPr>
                          <m:t>𝜂</m:t>
                        </m:r>
                      </m:e>
                      <m:sub>
                        <m:r>
                          <a:rPr lang="en-US" altLang="zh-TW" sz="1100" b="0" i="1">
                            <a:solidFill>
                              <a:schemeClr val="tx1"/>
                            </a:solidFill>
                            <a:effectLst/>
                            <a:latin typeface="Cambria Math" panose="02040503050406030204" pitchFamily="18" charset="0"/>
                            <a:ea typeface="+mn-ea"/>
                            <a:cs typeface="+mn-cs"/>
                          </a:rPr>
                          <m:t>𝑝𝑢𝑙𝑙𝑒𝑦</m:t>
                        </m:r>
                      </m:sub>
                    </m:sSub>
                  </m:oMath>
                </m:oMathPara>
              </a14:m>
              <a:endParaRPr lang="zh-TW" altLang="zh-TW" sz="1100">
                <a:solidFill>
                  <a:schemeClr val="tx1"/>
                </a:solidFill>
                <a:effectLst/>
                <a:latin typeface="+mn-lt"/>
                <a:ea typeface="+mn-ea"/>
                <a:cs typeface="+mn-cs"/>
              </a:endParaRPr>
            </a:p>
          </xdr:txBody>
        </xdr:sp>
      </mc:Choice>
      <mc:Fallback xmlns="">
        <xdr:sp macro="" textlink="">
          <xdr:nvSpPr>
            <xdr:cNvPr id="4" name="文字方塊 3">
              <a:extLst>
                <a:ext uri="{FF2B5EF4-FFF2-40B4-BE49-F238E27FC236}">
                  <a16:creationId xmlns:a16="http://schemas.microsoft.com/office/drawing/2014/main" id="{00000000-0008-0000-0100-000004000000}"/>
                </a:ext>
              </a:extLst>
            </xdr:cNvPr>
            <xdr:cNvSpPr txBox="1"/>
          </xdr:nvSpPr>
          <xdr:spPr>
            <a:xfrm>
              <a:off x="284646" y="3296052"/>
              <a:ext cx="1584123" cy="24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altLang="zh-TW" sz="1100" i="0">
                  <a:solidFill>
                    <a:schemeClr val="tx1"/>
                  </a:solidFill>
                  <a:effectLst/>
                  <a:latin typeface="Cambria Math" panose="02040503050406030204" pitchFamily="18" charset="0"/>
                  <a:ea typeface="+mn-ea"/>
                  <a:cs typeface="+mn-cs"/>
                </a:rPr>
                <a:t>𝑇</a:t>
              </a:r>
              <a:r>
                <a:rPr lang="zh-TW" altLang="zh-TW"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𝑎𝑥𝑖𝑎𝑙</a:t>
              </a:r>
              <a:r>
                <a:rPr lang="en-US" altLang="zh-TW" sz="110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𝑇</a:t>
              </a:r>
              <a:r>
                <a:rPr lang="zh-TW" altLang="zh-TW" sz="1100" b="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𝑑𝑟𝑖𝑣𝑒</a:t>
              </a:r>
              <a:r>
                <a:rPr lang="en-US" altLang="zh-TW" sz="1100" i="0">
                  <a:solidFill>
                    <a:schemeClr val="tx1"/>
                  </a:solidFill>
                  <a:effectLst/>
                  <a:latin typeface="Cambria Math" panose="02040503050406030204" pitchFamily="18" charset="0"/>
                  <a:ea typeface="+mn-ea"/>
                  <a:cs typeface="+mn-cs"/>
                </a:rPr>
                <a:t>∗</a:t>
              </a:r>
              <a:r>
                <a:rPr lang="zh-TW" altLang="zh-TW" sz="110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𝑖</a:t>
              </a:r>
              <a:r>
                <a:rPr lang="en-US" altLang="zh-TW" sz="1100" i="0">
                  <a:solidFill>
                    <a:schemeClr val="tx1"/>
                  </a:solidFill>
                  <a:effectLst/>
                  <a:latin typeface="Cambria Math" panose="02040503050406030204" pitchFamily="18" charset="0"/>
                  <a:ea typeface="+mn-ea"/>
                  <a:cs typeface="+mn-cs"/>
                </a:rPr>
                <a:t>∗</a:t>
              </a:r>
              <a:r>
                <a:rPr lang="el-GR" altLang="zh-TW" sz="1100" i="0">
                  <a:solidFill>
                    <a:schemeClr val="tx1"/>
                  </a:solidFill>
                  <a:effectLst/>
                  <a:latin typeface="Cambria Math" panose="02040503050406030204" pitchFamily="18" charset="0"/>
                  <a:ea typeface="+mn-ea"/>
                  <a:cs typeface="+mn-cs"/>
                </a:rPr>
                <a:t>𝜂</a:t>
              </a:r>
              <a:r>
                <a:rPr lang="zh-TW" altLang="zh-TW"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𝑝𝑢𝑙𝑙𝑒𝑦</a:t>
              </a:r>
              <a:endParaRPr lang="zh-TW" altLang="zh-TW" sz="1100">
                <a:solidFill>
                  <a:schemeClr val="tx1"/>
                </a:solidFill>
                <a:effectLst/>
                <a:latin typeface="+mn-lt"/>
                <a:ea typeface="+mn-ea"/>
                <a:cs typeface="+mn-cs"/>
              </a:endParaRPr>
            </a:p>
          </xdr:txBody>
        </xdr:sp>
      </mc:Fallback>
    </mc:AlternateContent>
    <xdr:clientData/>
  </xdr:oneCellAnchor>
  <xdr:oneCellAnchor>
    <xdr:from>
      <xdr:col>0</xdr:col>
      <xdr:colOff>345809</xdr:colOff>
      <xdr:row>5</xdr:row>
      <xdr:rowOff>61361</xdr:rowOff>
    </xdr:from>
    <xdr:ext cx="1259305" cy="345544"/>
    <mc:AlternateContent xmlns:mc="http://schemas.openxmlformats.org/markup-compatibility/2006" xmlns:a14="http://schemas.microsoft.com/office/drawing/2010/main">
      <mc:Choice Requires="a14">
        <xdr:sp macro="" textlink="">
          <xdr:nvSpPr>
            <xdr:cNvPr id="5" name="文字方塊 4">
              <a:extLst>
                <a:ext uri="{FF2B5EF4-FFF2-40B4-BE49-F238E27FC236}">
                  <a16:creationId xmlns:a16="http://schemas.microsoft.com/office/drawing/2014/main" id="{00000000-0008-0000-0400-000005000000}"/>
                </a:ext>
              </a:extLst>
            </xdr:cNvPr>
            <xdr:cNvSpPr txBox="1"/>
          </xdr:nvSpPr>
          <xdr:spPr>
            <a:xfrm>
              <a:off x="345809" y="1204361"/>
              <a:ext cx="1259305"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𝑎𝑥𝑖𝑎𝑙</m:t>
                        </m:r>
                      </m:sub>
                    </m:sSub>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𝐹</m:t>
                            </m:r>
                          </m:e>
                          <m:sub>
                            <m:r>
                              <a:rPr lang="en-US" altLang="zh-TW" sz="1100" b="0" i="1">
                                <a:solidFill>
                                  <a:schemeClr val="tx1"/>
                                </a:solidFill>
                                <a:effectLst/>
                                <a:latin typeface="Cambria Math" panose="02040503050406030204" pitchFamily="18" charset="0"/>
                                <a:ea typeface="+mn-ea"/>
                                <a:cs typeface="+mn-cs"/>
                              </a:rPr>
                              <m:t>𝑎𝑥𝑖𝑎𝑙</m:t>
                            </m:r>
                          </m:sub>
                        </m:sSub>
                        <m:r>
                          <a:rPr lang="zh-TW" altLang="en-US" sz="1100" b="0" i="1">
                            <a:solidFill>
                              <a:schemeClr val="tx1"/>
                            </a:solidFill>
                            <a:effectLst/>
                            <a:latin typeface="Cambria Math" panose="02040503050406030204" pitchFamily="18" charset="0"/>
                            <a:ea typeface="+mn-ea"/>
                            <a:cs typeface="+mn-cs"/>
                          </a:rPr>
                          <m:t>∗</m:t>
                        </m:r>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𝑃</m:t>
                            </m:r>
                          </m:e>
                          <m:sub>
                            <m:r>
                              <a:rPr lang="en-US" altLang="zh-TW" sz="1100" b="0" i="1">
                                <a:solidFill>
                                  <a:schemeClr val="tx1"/>
                                </a:solidFill>
                                <a:effectLst/>
                                <a:latin typeface="Cambria Math" panose="02040503050406030204" pitchFamily="18" charset="0"/>
                                <a:ea typeface="+mn-ea"/>
                                <a:cs typeface="+mn-cs"/>
                              </a:rPr>
                              <m:t>h</m:t>
                            </m:r>
                          </m:sub>
                        </m:sSub>
                      </m:num>
                      <m:den>
                        <m:r>
                          <a:rPr lang="en-US" altLang="zh-TW" sz="1100" b="0" i="1">
                            <a:solidFill>
                              <a:schemeClr val="tx1"/>
                            </a:solidFill>
                            <a:effectLst/>
                            <a:latin typeface="Cambria Math" panose="02040503050406030204" pitchFamily="18" charset="0"/>
                            <a:ea typeface="+mn-ea"/>
                            <a:cs typeface="+mn-cs"/>
                          </a:rPr>
                          <m:t>2</m:t>
                        </m:r>
                        <m:r>
                          <a:rPr lang="zh-TW" altLang="en-US" sz="1100" b="0" i="1">
                            <a:solidFill>
                              <a:schemeClr val="tx1"/>
                            </a:solidFill>
                            <a:effectLst/>
                            <a:latin typeface="Cambria Math" panose="02040503050406030204" pitchFamily="18" charset="0"/>
                            <a:ea typeface="+mn-ea"/>
                            <a:cs typeface="+mn-cs"/>
                          </a:rPr>
                          <m:t>𝜋</m:t>
                        </m:r>
                        <m:r>
                          <a:rPr lang="zh-TW" altLang="en-US" sz="1100" b="0" i="1">
                            <a:solidFill>
                              <a:schemeClr val="tx1"/>
                            </a:solidFill>
                            <a:effectLst/>
                            <a:latin typeface="Cambria Math" panose="02040503050406030204" pitchFamily="18" charset="0"/>
                            <a:ea typeface="+mn-ea"/>
                            <a:cs typeface="+mn-cs"/>
                          </a:rPr>
                          <m:t>∗</m:t>
                        </m:r>
                        <m:r>
                          <a:rPr lang="el-GR" altLang="zh-TW" sz="1100" b="0" i="1">
                            <a:solidFill>
                              <a:schemeClr val="tx1"/>
                            </a:solidFill>
                            <a:effectLst/>
                            <a:latin typeface="Cambria Math" panose="02040503050406030204" pitchFamily="18" charset="0"/>
                            <a:ea typeface="+mn-ea"/>
                            <a:cs typeface="+mn-cs"/>
                          </a:rPr>
                          <m:t>𝜂</m:t>
                        </m:r>
                      </m:den>
                    </m:f>
                  </m:oMath>
                </m:oMathPara>
              </a14:m>
              <a:endParaRPr lang="zh-TW" altLang="en-US" sz="1100"/>
            </a:p>
          </xdr:txBody>
        </xdr:sp>
      </mc:Choice>
      <mc:Fallback xmlns="">
        <xdr:sp macro="" textlink="">
          <xdr:nvSpPr>
            <xdr:cNvPr id="5" name="文字方塊 4">
              <a:extLst>
                <a:ext uri="{FF2B5EF4-FFF2-40B4-BE49-F238E27FC236}">
                  <a16:creationId xmlns:a16="http://schemas.microsoft.com/office/drawing/2014/main" id="{00000000-0008-0000-0100-000005000000}"/>
                </a:ext>
              </a:extLst>
            </xdr:cNvPr>
            <xdr:cNvSpPr txBox="1"/>
          </xdr:nvSpPr>
          <xdr:spPr>
            <a:xfrm>
              <a:off x="345809" y="1204361"/>
              <a:ext cx="1259305"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altLang="zh-TW" sz="1100" b="0" i="0">
                  <a:solidFill>
                    <a:schemeClr val="tx1"/>
                  </a:solidFill>
                  <a:effectLst/>
                  <a:latin typeface="Cambria Math" panose="02040503050406030204" pitchFamily="18" charset="0"/>
                  <a:ea typeface="+mn-ea"/>
                  <a:cs typeface="+mn-cs"/>
                </a:rPr>
                <a:t>𝑇_𝑎𝑥𝑖𝑎𝑙</a:t>
              </a:r>
              <a:r>
                <a:rPr lang="en-US" altLang="zh-TW" sz="1100" b="0" i="0">
                  <a:latin typeface="Cambria Math" panose="02040503050406030204" pitchFamily="18" charset="0"/>
                </a:rPr>
                <a:t>=(</a:t>
              </a:r>
              <a:r>
                <a:rPr lang="en-US" altLang="zh-TW" sz="1100" b="0" i="0">
                  <a:solidFill>
                    <a:schemeClr val="tx1"/>
                  </a:solidFill>
                  <a:effectLst/>
                  <a:latin typeface="Cambria Math" panose="02040503050406030204" pitchFamily="18" charset="0"/>
                  <a:ea typeface="+mn-ea"/>
                  <a:cs typeface="+mn-cs"/>
                </a:rPr>
                <a:t>𝐹_𝑎𝑥𝑖𝑎𝑙</a:t>
              </a:r>
              <a:r>
                <a:rPr lang="zh-TW" altLang="en-US" sz="1100" b="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𝑃_ℎ)/(2</a:t>
              </a:r>
              <a:r>
                <a:rPr lang="zh-TW" altLang="en-US" sz="1100" b="0" i="0">
                  <a:solidFill>
                    <a:schemeClr val="tx1"/>
                  </a:solidFill>
                  <a:effectLst/>
                  <a:latin typeface="Cambria Math" panose="02040503050406030204" pitchFamily="18" charset="0"/>
                  <a:ea typeface="+mn-ea"/>
                  <a:cs typeface="+mn-cs"/>
                </a:rPr>
                <a:t>𝜋∗</a:t>
              </a:r>
              <a:r>
                <a:rPr lang="el-GR" altLang="zh-TW" sz="1100" b="0" i="0">
                  <a:solidFill>
                    <a:schemeClr val="tx1"/>
                  </a:solidFill>
                  <a:effectLst/>
                  <a:latin typeface="Cambria Math" panose="02040503050406030204" pitchFamily="18" charset="0"/>
                  <a:ea typeface="+mn-ea"/>
                  <a:cs typeface="+mn-cs"/>
                </a:rPr>
                <a:t>𝜂</a:t>
              </a:r>
              <a:r>
                <a:rPr lang="en-US" altLang="zh-TW" sz="1100" b="0" i="0">
                  <a:solidFill>
                    <a:schemeClr val="tx1"/>
                  </a:solidFill>
                  <a:effectLst/>
                  <a:latin typeface="Cambria Math" panose="02040503050406030204" pitchFamily="18" charset="0"/>
                  <a:ea typeface="+mn-ea"/>
                  <a:cs typeface="+mn-cs"/>
                </a:rPr>
                <a:t>)</a:t>
              </a:r>
              <a:endParaRPr lang="zh-TW" altLang="en-US" sz="1100"/>
            </a:p>
          </xdr:txBody>
        </xdr:sp>
      </mc:Fallback>
    </mc:AlternateContent>
    <xdr:clientData/>
  </xdr:oneCellAnchor>
  <xdr:oneCellAnchor>
    <xdr:from>
      <xdr:col>1</xdr:col>
      <xdr:colOff>494498</xdr:colOff>
      <xdr:row>15</xdr:row>
      <xdr:rowOff>16543</xdr:rowOff>
    </xdr:from>
    <xdr:ext cx="2009845" cy="364395"/>
    <mc:AlternateContent xmlns:mc="http://schemas.openxmlformats.org/markup-compatibility/2006" xmlns:a14="http://schemas.microsoft.com/office/drawing/2010/main">
      <mc:Choice Requires="a14">
        <xdr:sp macro="" textlink="">
          <xdr:nvSpPr>
            <xdr:cNvPr id="8" name="文字方塊 7">
              <a:extLst>
                <a:ext uri="{FF2B5EF4-FFF2-40B4-BE49-F238E27FC236}">
                  <a16:creationId xmlns:a16="http://schemas.microsoft.com/office/drawing/2014/main" id="{00000000-0008-0000-0400-000008000000}"/>
                </a:ext>
              </a:extLst>
            </xdr:cNvPr>
            <xdr:cNvSpPr txBox="1"/>
          </xdr:nvSpPr>
          <xdr:spPr>
            <a:xfrm>
              <a:off x="2359393" y="3214938"/>
              <a:ext cx="2009845" cy="364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100" i="1">
                            <a:latin typeface="Cambria Math" panose="02040503050406030204" pitchFamily="18" charset="0"/>
                          </a:rPr>
                        </m:ctrlPr>
                      </m:sSubPr>
                      <m:e>
                        <m:r>
                          <a:rPr lang="en-US" altLang="zh-TW" sz="1100" b="0" i="1">
                            <a:latin typeface="Cambria Math" panose="02040503050406030204" pitchFamily="18" charset="0"/>
                          </a:rPr>
                          <m:t>𝑇</m:t>
                        </m:r>
                      </m:e>
                      <m:sub>
                        <m:r>
                          <a:rPr lang="en-US" altLang="zh-TW" sz="1100" b="0" i="1">
                            <a:latin typeface="Cambria Math" panose="02040503050406030204" pitchFamily="18" charset="0"/>
                          </a:rPr>
                          <m:t>𝑑𝑟𝑖𝑣𝑒</m:t>
                        </m:r>
                      </m:sub>
                    </m:sSub>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𝑇</m:t>
                            </m:r>
                          </m:e>
                          <m:sub>
                            <m:r>
                              <a:rPr lang="en-US" altLang="zh-TW" sz="1100" b="0" i="1">
                                <a:latin typeface="Cambria Math" panose="02040503050406030204" pitchFamily="18" charset="0"/>
                              </a:rPr>
                              <m:t>𝑎𝑥𝑖𝑎𝑙</m:t>
                            </m:r>
                          </m:sub>
                        </m:sSub>
                      </m:num>
                      <m:den>
                        <m:r>
                          <a:rPr lang="en-US" altLang="zh-TW" sz="1100" b="0" i="1">
                            <a:latin typeface="Cambria Math" panose="02040503050406030204" pitchFamily="18" charset="0"/>
                          </a:rPr>
                          <m:t>𝑖</m:t>
                        </m:r>
                        <m:r>
                          <a:rPr lang="en-US" altLang="zh-TW" sz="1100" b="0" i="1">
                            <a:latin typeface="Cambria Math" panose="02040503050406030204" pitchFamily="18" charset="0"/>
                            <a:ea typeface="Cambria Math" panose="02040503050406030204" pitchFamily="18" charset="0"/>
                          </a:rPr>
                          <m:t>∗</m:t>
                        </m:r>
                        <m:sSub>
                          <m:sSubPr>
                            <m:ctrlPr>
                              <a:rPr lang="en-US" altLang="zh-TW" sz="1100" b="0" i="1">
                                <a:latin typeface="Cambria Math" panose="02040503050406030204" pitchFamily="18" charset="0"/>
                                <a:ea typeface="Cambria Math" panose="02040503050406030204" pitchFamily="18" charset="0"/>
                              </a:rPr>
                            </m:ctrlPr>
                          </m:sSubPr>
                          <m:e>
                            <m:r>
                              <a:rPr lang="zh-TW" altLang="en-US" sz="1100" b="0" i="1">
                                <a:latin typeface="Cambria Math" panose="02040503050406030204" pitchFamily="18" charset="0"/>
                                <a:ea typeface="Cambria Math" panose="02040503050406030204" pitchFamily="18" charset="0"/>
                              </a:rPr>
                              <m:t>𝜂</m:t>
                            </m:r>
                          </m:e>
                          <m:sub>
                            <m:r>
                              <a:rPr lang="en-US" altLang="zh-TW" sz="1100" b="0" i="1">
                                <a:latin typeface="Cambria Math" panose="02040503050406030204" pitchFamily="18" charset="0"/>
                                <a:ea typeface="Cambria Math" panose="02040503050406030204" pitchFamily="18" charset="0"/>
                              </a:rPr>
                              <m:t>𝑝𝑢𝑙𝑙𝑒𝑦</m:t>
                            </m:r>
                          </m:sub>
                        </m:sSub>
                      </m:den>
                    </m:f>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𝑇</m:t>
                            </m:r>
                          </m:e>
                          <m:sub>
                            <m:r>
                              <a:rPr lang="en-US" altLang="zh-TW" sz="1100" b="0" i="1">
                                <a:latin typeface="Cambria Math" panose="02040503050406030204" pitchFamily="18" charset="0"/>
                              </a:rPr>
                              <m:t>𝑎𝑥𝑖𝑎𝑙</m:t>
                            </m:r>
                          </m:sub>
                        </m:sSub>
                        <m:r>
                          <a:rPr lang="en-US" altLang="zh-TW" sz="1100" b="0" i="1">
                            <a:latin typeface="Cambria Math" panose="02040503050406030204" pitchFamily="18" charset="0"/>
                            <a:ea typeface="Cambria Math" panose="02040503050406030204" pitchFamily="18" charset="0"/>
                          </a:rPr>
                          <m:t>∗</m:t>
                        </m:r>
                        <m:sSub>
                          <m:sSubPr>
                            <m:ctrlPr>
                              <a:rPr lang="en-US" altLang="zh-TW" sz="1100" b="0" i="1">
                                <a:latin typeface="Cambria Math" panose="02040503050406030204" pitchFamily="18" charset="0"/>
                                <a:ea typeface="Cambria Math" panose="02040503050406030204" pitchFamily="18" charset="0"/>
                              </a:rPr>
                            </m:ctrlPr>
                          </m:sSubPr>
                          <m:e>
                            <m:r>
                              <a:rPr lang="en-US" altLang="zh-TW" sz="1100" b="0" i="1">
                                <a:latin typeface="Cambria Math" panose="02040503050406030204" pitchFamily="18" charset="0"/>
                                <a:ea typeface="Cambria Math" panose="02040503050406030204" pitchFamily="18" charset="0"/>
                              </a:rPr>
                              <m:t>𝑁</m:t>
                            </m:r>
                          </m:e>
                          <m:sub>
                            <m:r>
                              <a:rPr lang="en-US" altLang="zh-TW" sz="1100" b="0" i="1">
                                <a:latin typeface="Cambria Math" panose="02040503050406030204" pitchFamily="18" charset="0"/>
                                <a:ea typeface="Cambria Math" panose="02040503050406030204" pitchFamily="18" charset="0"/>
                              </a:rPr>
                              <m:t>2</m:t>
                            </m:r>
                          </m:sub>
                        </m:sSub>
                      </m:num>
                      <m:den>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𝑁</m:t>
                            </m:r>
                          </m:e>
                          <m:sub>
                            <m:r>
                              <a:rPr lang="en-US" altLang="zh-TW" sz="1100" b="0" i="1">
                                <a:latin typeface="Cambria Math" panose="02040503050406030204" pitchFamily="18" charset="0"/>
                              </a:rPr>
                              <m:t>1</m:t>
                            </m:r>
                          </m:sub>
                        </m:sSub>
                        <m:r>
                          <a:rPr lang="en-US" altLang="zh-TW" sz="1100" b="0" i="1">
                            <a:latin typeface="Cambria Math" panose="02040503050406030204" pitchFamily="18" charset="0"/>
                            <a:ea typeface="Cambria Math" panose="02040503050406030204" pitchFamily="18" charset="0"/>
                          </a:rPr>
                          <m:t>∗</m:t>
                        </m:r>
                        <m:sSub>
                          <m:sSubPr>
                            <m:ctrlPr>
                              <a:rPr lang="en-US" altLang="zh-TW" sz="1100" b="0" i="1">
                                <a:latin typeface="Cambria Math" panose="02040503050406030204" pitchFamily="18" charset="0"/>
                                <a:ea typeface="Cambria Math" panose="02040503050406030204" pitchFamily="18" charset="0"/>
                              </a:rPr>
                            </m:ctrlPr>
                          </m:sSubPr>
                          <m:e>
                            <m:r>
                              <a:rPr lang="zh-TW" altLang="en-US" sz="1100" b="0" i="1">
                                <a:latin typeface="Cambria Math" panose="02040503050406030204" pitchFamily="18" charset="0"/>
                                <a:ea typeface="Cambria Math" panose="02040503050406030204" pitchFamily="18" charset="0"/>
                              </a:rPr>
                              <m:t>𝜂</m:t>
                            </m:r>
                          </m:e>
                          <m:sub>
                            <m:r>
                              <a:rPr lang="en-US" altLang="zh-TW" sz="1100" b="0" i="1">
                                <a:latin typeface="Cambria Math" panose="02040503050406030204" pitchFamily="18" charset="0"/>
                                <a:ea typeface="Cambria Math" panose="02040503050406030204" pitchFamily="18" charset="0"/>
                              </a:rPr>
                              <m:t>𝑝𝑢𝑙𝑙𝑒𝑦</m:t>
                            </m:r>
                          </m:sub>
                        </m:sSub>
                      </m:den>
                    </m:f>
                  </m:oMath>
                </m:oMathPara>
              </a14:m>
              <a:endParaRPr lang="zh-TW" altLang="en-US" sz="1100"/>
            </a:p>
          </xdr:txBody>
        </xdr:sp>
      </mc:Choice>
      <mc:Fallback xmlns="">
        <xdr:sp macro="" textlink="">
          <xdr:nvSpPr>
            <xdr:cNvPr id="8" name="文字方塊 7">
              <a:extLst>
                <a:ext uri="{FF2B5EF4-FFF2-40B4-BE49-F238E27FC236}">
                  <a16:creationId xmlns:a16="http://schemas.microsoft.com/office/drawing/2014/main" id="{91595B1C-17C7-45A4-B7A5-329A744BF720}"/>
                </a:ext>
              </a:extLst>
            </xdr:cNvPr>
            <xdr:cNvSpPr txBox="1"/>
          </xdr:nvSpPr>
          <xdr:spPr>
            <a:xfrm>
              <a:off x="2359393" y="3214938"/>
              <a:ext cx="2009845" cy="364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altLang="zh-TW" sz="1100" b="0" i="0">
                  <a:latin typeface="Cambria Math" panose="02040503050406030204" pitchFamily="18" charset="0"/>
                </a:rPr>
                <a:t>𝑇_𝑑𝑟𝑖𝑣𝑒=𝑇_𝑎𝑥𝑖𝑎𝑙/(𝑖</a:t>
              </a:r>
              <a:r>
                <a:rPr lang="en-US" altLang="zh-TW" sz="1100" b="0" i="0">
                  <a:latin typeface="Cambria Math" panose="02040503050406030204" pitchFamily="18" charset="0"/>
                  <a:ea typeface="Cambria Math" panose="02040503050406030204" pitchFamily="18" charset="0"/>
                </a:rPr>
                <a:t>∗</a:t>
              </a:r>
              <a:r>
                <a:rPr lang="zh-TW" altLang="en-US" sz="1100" b="0" i="0">
                  <a:latin typeface="Cambria Math" panose="02040503050406030204" pitchFamily="18" charset="0"/>
                  <a:ea typeface="Cambria Math" panose="02040503050406030204" pitchFamily="18" charset="0"/>
                </a:rPr>
                <a:t>𝜂</a:t>
              </a:r>
              <a:r>
                <a:rPr lang="en-US" altLang="zh-TW" sz="1100" b="0" i="0">
                  <a:latin typeface="Cambria Math" panose="02040503050406030204" pitchFamily="18" charset="0"/>
                  <a:ea typeface="Cambria Math" panose="02040503050406030204" pitchFamily="18" charset="0"/>
                </a:rPr>
                <a:t>_𝑝𝑢𝑙𝑙𝑒𝑦 )</a:t>
              </a:r>
              <a:r>
                <a:rPr lang="en-US" altLang="zh-TW" sz="1100" b="0" i="0">
                  <a:latin typeface="Cambria Math" panose="02040503050406030204" pitchFamily="18" charset="0"/>
                </a:rPr>
                <a:t>=(𝑇_𝑎𝑥𝑖𝑎𝑙</a:t>
              </a:r>
              <a:r>
                <a:rPr lang="en-US" altLang="zh-TW" sz="1100" b="0" i="0">
                  <a:latin typeface="Cambria Math" panose="02040503050406030204" pitchFamily="18" charset="0"/>
                  <a:ea typeface="Cambria Math" panose="02040503050406030204" pitchFamily="18" charset="0"/>
                </a:rPr>
                <a:t>∗𝑁_2)/(</a:t>
              </a:r>
              <a:r>
                <a:rPr lang="en-US" altLang="zh-TW" sz="1100" b="0" i="0">
                  <a:latin typeface="Cambria Math" panose="02040503050406030204" pitchFamily="18" charset="0"/>
                </a:rPr>
                <a:t>𝑁_1</a:t>
              </a:r>
              <a:r>
                <a:rPr lang="en-US" altLang="zh-TW" sz="1100" b="0" i="0">
                  <a:latin typeface="Cambria Math" panose="02040503050406030204" pitchFamily="18" charset="0"/>
                  <a:ea typeface="Cambria Math" panose="02040503050406030204" pitchFamily="18" charset="0"/>
                </a:rPr>
                <a:t>∗</a:t>
              </a:r>
              <a:r>
                <a:rPr lang="zh-TW" altLang="en-US" sz="1100" b="0" i="0">
                  <a:latin typeface="Cambria Math" panose="02040503050406030204" pitchFamily="18" charset="0"/>
                  <a:ea typeface="Cambria Math" panose="02040503050406030204" pitchFamily="18" charset="0"/>
                </a:rPr>
                <a:t>𝜂</a:t>
              </a:r>
              <a:r>
                <a:rPr lang="en-US" altLang="zh-TW" sz="1100" b="0" i="0">
                  <a:latin typeface="Cambria Math" panose="02040503050406030204" pitchFamily="18" charset="0"/>
                  <a:ea typeface="Cambria Math" panose="02040503050406030204" pitchFamily="18" charset="0"/>
                </a:rPr>
                <a:t>_𝑝𝑢𝑙𝑙𝑒𝑦 )</a:t>
              </a:r>
              <a:endParaRPr lang="zh-TW" altLang="en-US"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0</xdr:col>
      <xdr:colOff>324394</xdr:colOff>
      <xdr:row>14</xdr:row>
      <xdr:rowOff>165463</xdr:rowOff>
    </xdr:from>
    <xdr:ext cx="65" cy="172227"/>
    <xdr:sp macro="" textlink="">
      <xdr:nvSpPr>
        <xdr:cNvPr id="2" name="文字方塊 1">
          <a:extLst>
            <a:ext uri="{FF2B5EF4-FFF2-40B4-BE49-F238E27FC236}">
              <a16:creationId xmlns:a16="http://schemas.microsoft.com/office/drawing/2014/main" id="{00000000-0008-0000-0500-000002000000}"/>
            </a:ext>
          </a:extLst>
        </xdr:cNvPr>
        <xdr:cNvSpPr txBox="1"/>
      </xdr:nvSpPr>
      <xdr:spPr>
        <a:xfrm>
          <a:off x="320584" y="226477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TW" altLang="en-US"/>
        </a:p>
      </xdr:txBody>
    </xdr:sp>
    <xdr:clientData/>
  </xdr:oneCellAnchor>
  <xdr:oneCellAnchor>
    <xdr:from>
      <xdr:col>0</xdr:col>
      <xdr:colOff>1012371</xdr:colOff>
      <xdr:row>4</xdr:row>
      <xdr:rowOff>15784</xdr:rowOff>
    </xdr:from>
    <xdr:ext cx="651172" cy="396240"/>
    <mc:AlternateContent xmlns:mc="http://schemas.openxmlformats.org/markup-compatibility/2006" xmlns:a14="http://schemas.microsoft.com/office/drawing/2010/main">
      <mc:Choice Requires="a14">
        <xdr:sp macro="" textlink="">
          <xdr:nvSpPr>
            <xdr:cNvPr id="3" name="文字方塊 2">
              <a:extLst>
                <a:ext uri="{FF2B5EF4-FFF2-40B4-BE49-F238E27FC236}">
                  <a16:creationId xmlns:a16="http://schemas.microsoft.com/office/drawing/2014/main" id="{00000000-0008-0000-0500-000003000000}"/>
                </a:ext>
              </a:extLst>
            </xdr:cNvPr>
            <xdr:cNvSpPr txBox="1"/>
          </xdr:nvSpPr>
          <xdr:spPr>
            <a:xfrm>
              <a:off x="1012371" y="946513"/>
              <a:ext cx="651172"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n-US" altLang="zh-TW" sz="1100" b="0" i="1">
                        <a:latin typeface="Cambria Math" panose="02040503050406030204" pitchFamily="18" charset="0"/>
                      </a:rPr>
                      <m:t>𝑖</m:t>
                    </m:r>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𝑁</m:t>
                            </m:r>
                          </m:e>
                          <m:sub>
                            <m:r>
                              <a:rPr lang="en-US" altLang="zh-TW" sz="1100" b="0" i="1">
                                <a:latin typeface="Cambria Math" panose="02040503050406030204" pitchFamily="18" charset="0"/>
                              </a:rPr>
                              <m:t>2</m:t>
                            </m:r>
                          </m:sub>
                        </m:sSub>
                      </m:num>
                      <m:den>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𝑁</m:t>
                            </m:r>
                          </m:e>
                          <m:sub>
                            <m:r>
                              <a:rPr lang="en-US" altLang="zh-TW" sz="1100" b="0" i="1">
                                <a:latin typeface="Cambria Math" panose="02040503050406030204" pitchFamily="18" charset="0"/>
                              </a:rPr>
                              <m:t>1</m:t>
                            </m:r>
                          </m:sub>
                        </m:sSub>
                      </m:den>
                    </m:f>
                  </m:oMath>
                </m:oMathPara>
              </a14:m>
              <a:endParaRPr lang="zh-TW" altLang="en-US" sz="1100"/>
            </a:p>
          </xdr:txBody>
        </xdr:sp>
      </mc:Choice>
      <mc:Fallback xmlns="">
        <xdr:sp macro="" textlink="">
          <xdr:nvSpPr>
            <xdr:cNvPr id="3" name="文字方塊 2">
              <a:extLst>
                <a:ext uri="{FF2B5EF4-FFF2-40B4-BE49-F238E27FC236}">
                  <a16:creationId xmlns:a16="http://schemas.microsoft.com/office/drawing/2014/main" id="{00000000-0008-0000-0200-000003000000}"/>
                </a:ext>
              </a:extLst>
            </xdr:cNvPr>
            <xdr:cNvSpPr txBox="1"/>
          </xdr:nvSpPr>
          <xdr:spPr>
            <a:xfrm>
              <a:off x="1012371" y="946513"/>
              <a:ext cx="651172"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altLang="zh-TW" sz="1100" b="0" i="0">
                  <a:latin typeface="Cambria Math" panose="02040503050406030204" pitchFamily="18" charset="0"/>
                </a:rPr>
                <a:t>𝑖=𝑁_2/𝑁_1 </a:t>
              </a:r>
              <a:endParaRPr lang="zh-TW" altLang="en-US" sz="1100"/>
            </a:p>
          </xdr:txBody>
        </xdr:sp>
      </mc:Fallback>
    </mc:AlternateContent>
    <xdr:clientData/>
  </xdr:oneCellAnchor>
  <xdr:oneCellAnchor>
    <xdr:from>
      <xdr:col>0</xdr:col>
      <xdr:colOff>849901</xdr:colOff>
      <xdr:row>8</xdr:row>
      <xdr:rowOff>88991</xdr:rowOff>
    </xdr:from>
    <xdr:ext cx="1584123" cy="240632"/>
    <mc:AlternateContent xmlns:mc="http://schemas.openxmlformats.org/markup-compatibility/2006" xmlns:a14="http://schemas.microsoft.com/office/drawing/2010/main">
      <mc:Choice Requires="a14">
        <xdr:sp macro="" textlink="">
          <xdr:nvSpPr>
            <xdr:cNvPr id="4" name="文字方塊 3">
              <a:extLst>
                <a:ext uri="{FF2B5EF4-FFF2-40B4-BE49-F238E27FC236}">
                  <a16:creationId xmlns:a16="http://schemas.microsoft.com/office/drawing/2014/main" id="{00000000-0008-0000-0500-000004000000}"/>
                </a:ext>
              </a:extLst>
            </xdr:cNvPr>
            <xdr:cNvSpPr txBox="1"/>
          </xdr:nvSpPr>
          <xdr:spPr>
            <a:xfrm>
              <a:off x="849901" y="1879691"/>
              <a:ext cx="1584123" cy="24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zh-TW" altLang="zh-TW" sz="1100" i="1">
                            <a:solidFill>
                              <a:schemeClr val="tx1"/>
                            </a:solidFill>
                            <a:effectLst/>
                            <a:latin typeface="Cambria Math" panose="02040503050406030204" pitchFamily="18" charset="0"/>
                            <a:ea typeface="+mn-ea"/>
                            <a:cs typeface="+mn-cs"/>
                          </a:rPr>
                        </m:ctrlPr>
                      </m:sSubPr>
                      <m:e>
                        <m:r>
                          <a:rPr lang="en-US" altLang="zh-TW" sz="110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𝑎𝑥𝑖𝑎𝑙</m:t>
                        </m:r>
                      </m:sub>
                    </m:sSub>
                    <m:r>
                      <a:rPr lang="en-US" altLang="zh-TW" sz="1100" i="1">
                        <a:solidFill>
                          <a:schemeClr val="tx1"/>
                        </a:solidFill>
                        <a:effectLst/>
                        <a:latin typeface="Cambria Math" panose="02040503050406030204" pitchFamily="18" charset="0"/>
                        <a:ea typeface="+mn-ea"/>
                        <a:cs typeface="+mn-cs"/>
                      </a:rPr>
                      <m:t>=</m:t>
                    </m:r>
                    <m:sSub>
                      <m:sSubPr>
                        <m:ctrlPr>
                          <a:rPr lang="zh-TW" altLang="zh-TW"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𝑑𝑟𝑖𝑣𝑒</m:t>
                        </m:r>
                      </m:sub>
                    </m:sSub>
                    <m:r>
                      <a:rPr lang="en-US" altLang="zh-TW" sz="1100" i="1">
                        <a:solidFill>
                          <a:schemeClr val="tx1"/>
                        </a:solidFill>
                        <a:effectLst/>
                        <a:latin typeface="Cambria Math" panose="02040503050406030204" pitchFamily="18" charset="0"/>
                        <a:ea typeface="+mn-ea"/>
                        <a:cs typeface="+mn-cs"/>
                      </a:rPr>
                      <m:t>∗</m:t>
                    </m:r>
                    <m:sSub>
                      <m:sSubPr>
                        <m:ctrlPr>
                          <a:rPr lang="zh-TW" altLang="zh-TW"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𝑖</m:t>
                        </m:r>
                        <m:r>
                          <a:rPr lang="en-US" altLang="zh-TW" sz="1100" i="1">
                            <a:solidFill>
                              <a:schemeClr val="tx1"/>
                            </a:solidFill>
                            <a:effectLst/>
                            <a:latin typeface="Cambria Math" panose="02040503050406030204" pitchFamily="18" charset="0"/>
                            <a:ea typeface="+mn-ea"/>
                            <a:cs typeface="+mn-cs"/>
                          </a:rPr>
                          <m:t>∗</m:t>
                        </m:r>
                        <m:r>
                          <a:rPr lang="el-GR" altLang="zh-TW" sz="1100" i="1">
                            <a:solidFill>
                              <a:schemeClr val="tx1"/>
                            </a:solidFill>
                            <a:effectLst/>
                            <a:latin typeface="Cambria Math" panose="02040503050406030204" pitchFamily="18" charset="0"/>
                            <a:ea typeface="+mn-ea"/>
                            <a:cs typeface="+mn-cs"/>
                          </a:rPr>
                          <m:t>𝜂</m:t>
                        </m:r>
                      </m:e>
                      <m:sub>
                        <m:r>
                          <a:rPr lang="en-US" altLang="zh-TW" sz="1100" b="0" i="1">
                            <a:solidFill>
                              <a:schemeClr val="tx1"/>
                            </a:solidFill>
                            <a:effectLst/>
                            <a:latin typeface="Cambria Math" panose="02040503050406030204" pitchFamily="18" charset="0"/>
                            <a:ea typeface="+mn-ea"/>
                            <a:cs typeface="+mn-cs"/>
                          </a:rPr>
                          <m:t>𝑝𝑢𝑙𝑙𝑒𝑦</m:t>
                        </m:r>
                      </m:sub>
                    </m:sSub>
                  </m:oMath>
                </m:oMathPara>
              </a14:m>
              <a:endParaRPr lang="zh-TW" altLang="zh-TW" sz="1100">
                <a:solidFill>
                  <a:schemeClr val="tx1"/>
                </a:solidFill>
                <a:effectLst/>
                <a:latin typeface="+mn-lt"/>
                <a:ea typeface="+mn-ea"/>
                <a:cs typeface="+mn-cs"/>
              </a:endParaRPr>
            </a:p>
          </xdr:txBody>
        </xdr:sp>
      </mc:Choice>
      <mc:Fallback xmlns="">
        <xdr:sp macro="" textlink="">
          <xdr:nvSpPr>
            <xdr:cNvPr id="4" name="文字方塊 3">
              <a:extLst>
                <a:ext uri="{FF2B5EF4-FFF2-40B4-BE49-F238E27FC236}">
                  <a16:creationId xmlns:a16="http://schemas.microsoft.com/office/drawing/2014/main" id="{00000000-0008-0000-0200-000004000000}"/>
                </a:ext>
              </a:extLst>
            </xdr:cNvPr>
            <xdr:cNvSpPr txBox="1"/>
          </xdr:nvSpPr>
          <xdr:spPr>
            <a:xfrm>
              <a:off x="849901" y="1879691"/>
              <a:ext cx="1584123" cy="24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altLang="zh-TW" sz="1100" i="0">
                  <a:solidFill>
                    <a:schemeClr val="tx1"/>
                  </a:solidFill>
                  <a:effectLst/>
                  <a:latin typeface="Cambria Math" panose="02040503050406030204" pitchFamily="18" charset="0"/>
                  <a:ea typeface="+mn-ea"/>
                  <a:cs typeface="+mn-cs"/>
                </a:rPr>
                <a:t>𝑇</a:t>
              </a:r>
              <a:r>
                <a:rPr lang="zh-TW" altLang="zh-TW"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𝑎𝑥𝑖𝑎𝑙</a:t>
              </a:r>
              <a:r>
                <a:rPr lang="en-US" altLang="zh-TW" sz="110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𝑇</a:t>
              </a:r>
              <a:r>
                <a:rPr lang="zh-TW" altLang="zh-TW" sz="1100" b="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𝑑𝑟𝑖𝑣𝑒</a:t>
              </a:r>
              <a:r>
                <a:rPr lang="en-US" altLang="zh-TW" sz="1100" i="0">
                  <a:solidFill>
                    <a:schemeClr val="tx1"/>
                  </a:solidFill>
                  <a:effectLst/>
                  <a:latin typeface="Cambria Math" panose="02040503050406030204" pitchFamily="18" charset="0"/>
                  <a:ea typeface="+mn-ea"/>
                  <a:cs typeface="+mn-cs"/>
                </a:rPr>
                <a:t>∗</a:t>
              </a:r>
              <a:r>
                <a:rPr lang="zh-TW" altLang="zh-TW" sz="110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𝑖</a:t>
              </a:r>
              <a:r>
                <a:rPr lang="en-US" altLang="zh-TW" sz="1100" i="0">
                  <a:solidFill>
                    <a:schemeClr val="tx1"/>
                  </a:solidFill>
                  <a:effectLst/>
                  <a:latin typeface="Cambria Math" panose="02040503050406030204" pitchFamily="18" charset="0"/>
                  <a:ea typeface="+mn-ea"/>
                  <a:cs typeface="+mn-cs"/>
                </a:rPr>
                <a:t>∗</a:t>
              </a:r>
              <a:r>
                <a:rPr lang="el-GR" altLang="zh-TW" sz="1100" i="0">
                  <a:solidFill>
                    <a:schemeClr val="tx1"/>
                  </a:solidFill>
                  <a:effectLst/>
                  <a:latin typeface="Cambria Math" panose="02040503050406030204" pitchFamily="18" charset="0"/>
                  <a:ea typeface="+mn-ea"/>
                  <a:cs typeface="+mn-cs"/>
                </a:rPr>
                <a:t>𝜂</a:t>
              </a:r>
              <a:r>
                <a:rPr lang="zh-TW" altLang="zh-TW"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𝑝𝑢𝑙𝑙𝑒𝑦</a:t>
              </a:r>
              <a:endParaRPr lang="zh-TW" altLang="zh-TW" sz="1100">
                <a:solidFill>
                  <a:schemeClr val="tx1"/>
                </a:solidFill>
                <a:effectLst/>
                <a:latin typeface="+mn-lt"/>
                <a:ea typeface="+mn-ea"/>
                <a:cs typeface="+mn-cs"/>
              </a:endParaRPr>
            </a:p>
          </xdr:txBody>
        </xdr:sp>
      </mc:Fallback>
    </mc:AlternateContent>
    <xdr:clientData/>
  </xdr:oneCellAnchor>
  <xdr:oneCellAnchor>
    <xdr:from>
      <xdr:col>0</xdr:col>
      <xdr:colOff>623752</xdr:colOff>
      <xdr:row>14</xdr:row>
      <xdr:rowOff>12519</xdr:rowOff>
    </xdr:from>
    <xdr:ext cx="1415686" cy="346633"/>
    <mc:AlternateContent xmlns:mc="http://schemas.openxmlformats.org/markup-compatibility/2006" xmlns:a14="http://schemas.microsoft.com/office/drawing/2010/main">
      <mc:Choice Requires="a14">
        <xdr:sp macro="" textlink="">
          <xdr:nvSpPr>
            <xdr:cNvPr id="5" name="文字方塊 4">
              <a:extLst>
                <a:ext uri="{FF2B5EF4-FFF2-40B4-BE49-F238E27FC236}">
                  <a16:creationId xmlns:a16="http://schemas.microsoft.com/office/drawing/2014/main" id="{00000000-0008-0000-0500-000005000000}"/>
                </a:ext>
              </a:extLst>
            </xdr:cNvPr>
            <xdr:cNvSpPr txBox="1"/>
          </xdr:nvSpPr>
          <xdr:spPr>
            <a:xfrm>
              <a:off x="623752" y="3065962"/>
              <a:ext cx="1415686" cy="3466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100" i="1">
                            <a:latin typeface="Cambria Math" panose="02040503050406030204" pitchFamily="18" charset="0"/>
                          </a:rPr>
                        </m:ctrlPr>
                      </m:sSubPr>
                      <m:e>
                        <m:r>
                          <a:rPr lang="en-US" altLang="zh-TW" sz="1100" b="0" i="1">
                            <a:latin typeface="Cambria Math" panose="02040503050406030204" pitchFamily="18" charset="0"/>
                          </a:rPr>
                          <m:t>𝐹</m:t>
                        </m:r>
                      </m:e>
                      <m:sub>
                        <m:r>
                          <a:rPr lang="en-US" altLang="zh-TW" sz="1100" b="0" i="1">
                            <a:latin typeface="Cambria Math" panose="02040503050406030204" pitchFamily="18" charset="0"/>
                          </a:rPr>
                          <m:t>𝑎𝑥𝑖𝑎𝑙</m:t>
                        </m:r>
                      </m:sub>
                    </m:sSub>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r>
                          <a:rPr lang="en-US" altLang="zh-TW" sz="1100" b="0" i="1">
                            <a:latin typeface="Cambria Math" panose="02040503050406030204" pitchFamily="18" charset="0"/>
                            <a:ea typeface="Cambria Math" panose="02040503050406030204" pitchFamily="18" charset="0"/>
                          </a:rPr>
                          <m:t>2</m:t>
                        </m:r>
                        <m:r>
                          <a:rPr lang="zh-TW" altLang="en-US" sz="1100" b="0" i="1">
                            <a:latin typeface="Cambria Math" panose="02040503050406030204" pitchFamily="18" charset="0"/>
                            <a:ea typeface="Cambria Math" panose="02040503050406030204" pitchFamily="18" charset="0"/>
                          </a:rPr>
                          <m:t>𝜋</m:t>
                        </m:r>
                        <m:r>
                          <a:rPr lang="zh-TW" altLang="en-US" sz="1100" b="0" i="1">
                            <a:latin typeface="Cambria Math" panose="02040503050406030204" pitchFamily="18" charset="0"/>
                            <a:ea typeface="Cambria Math" panose="02040503050406030204" pitchFamily="18" charset="0"/>
                          </a:rPr>
                          <m:t>∗</m:t>
                        </m:r>
                        <m:r>
                          <a:rPr lang="el-GR" altLang="zh-TW" sz="1100" b="0" i="1">
                            <a:latin typeface="Cambria Math" panose="02040503050406030204" pitchFamily="18" charset="0"/>
                            <a:ea typeface="Cambria Math" panose="02040503050406030204" pitchFamily="18" charset="0"/>
                          </a:rPr>
                          <m:t>𝜂</m:t>
                        </m:r>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m:t>
                            </m:r>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𝑎𝑥𝑖𝑎𝑙</m:t>
                            </m:r>
                          </m:sub>
                        </m:sSub>
                      </m:num>
                      <m:den>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𝑃</m:t>
                            </m:r>
                          </m:e>
                          <m:sub>
                            <m:r>
                              <a:rPr lang="en-US" altLang="zh-TW" sz="1100" b="0" i="1">
                                <a:latin typeface="Cambria Math" panose="02040503050406030204" pitchFamily="18" charset="0"/>
                              </a:rPr>
                              <m:t>h</m:t>
                            </m:r>
                          </m:sub>
                        </m:sSub>
                      </m:den>
                    </m:f>
                  </m:oMath>
                </m:oMathPara>
              </a14:m>
              <a:endParaRPr lang="zh-TW" altLang="en-US" sz="1100"/>
            </a:p>
          </xdr:txBody>
        </xdr:sp>
      </mc:Choice>
      <mc:Fallback xmlns="">
        <xdr:sp macro="" textlink="">
          <xdr:nvSpPr>
            <xdr:cNvPr id="5" name="文字方塊 4">
              <a:extLst>
                <a:ext uri="{FF2B5EF4-FFF2-40B4-BE49-F238E27FC236}">
                  <a16:creationId xmlns:a16="http://schemas.microsoft.com/office/drawing/2014/main" id="{00000000-0008-0000-0200-000005000000}"/>
                </a:ext>
              </a:extLst>
            </xdr:cNvPr>
            <xdr:cNvSpPr txBox="1"/>
          </xdr:nvSpPr>
          <xdr:spPr>
            <a:xfrm>
              <a:off x="623752" y="3065962"/>
              <a:ext cx="1415686" cy="3466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altLang="zh-TW" sz="1100" b="0" i="0">
                  <a:latin typeface="Cambria Math" panose="02040503050406030204" pitchFamily="18" charset="0"/>
                </a:rPr>
                <a:t>𝐹_𝑎𝑥𝑖𝑎𝑙=(</a:t>
              </a:r>
              <a:r>
                <a:rPr lang="en-US" altLang="zh-TW" sz="1100" b="0" i="0">
                  <a:latin typeface="Cambria Math" panose="02040503050406030204" pitchFamily="18" charset="0"/>
                  <a:ea typeface="Cambria Math" panose="02040503050406030204" pitchFamily="18" charset="0"/>
                </a:rPr>
                <a:t>2</a:t>
              </a:r>
              <a:r>
                <a:rPr lang="zh-TW" altLang="en-US" sz="1100" b="0" i="0">
                  <a:latin typeface="Cambria Math" panose="02040503050406030204" pitchFamily="18" charset="0"/>
                  <a:ea typeface="Cambria Math" panose="02040503050406030204" pitchFamily="18" charset="0"/>
                </a:rPr>
                <a:t>𝜋∗</a:t>
              </a:r>
              <a:r>
                <a:rPr lang="el-GR" altLang="zh-TW" sz="1100" b="0" i="0">
                  <a:latin typeface="Cambria Math" panose="02040503050406030204" pitchFamily="18" charset="0"/>
                  <a:ea typeface="Cambria Math" panose="02040503050406030204" pitchFamily="18" charset="0"/>
                </a:rPr>
                <a:t>𝜂</a:t>
              </a:r>
              <a:r>
                <a:rPr lang="en-US" altLang="zh-TW" sz="1100" b="0" i="0">
                  <a:solidFill>
                    <a:schemeClr val="tx1"/>
                  </a:solidFill>
                  <a:effectLst/>
                  <a:latin typeface="Cambria Math" panose="02040503050406030204" pitchFamily="18" charset="0"/>
                  <a:ea typeface="+mn-ea"/>
                  <a:cs typeface="+mn-cs"/>
                </a:rPr>
                <a:t>〖∗𝑇〗_𝑎𝑥𝑖𝑎𝑙)/</a:t>
              </a:r>
              <a:r>
                <a:rPr lang="en-US" altLang="zh-TW" sz="1100" b="0" i="0">
                  <a:latin typeface="Cambria Math" panose="02040503050406030204" pitchFamily="18" charset="0"/>
                </a:rPr>
                <a:t>𝑃_ℎ </a:t>
              </a:r>
              <a:endParaRPr lang="zh-TW" altLang="en-US" sz="1100"/>
            </a:p>
          </xdr:txBody>
        </xdr:sp>
      </mc:Fallback>
    </mc:AlternateContent>
    <xdr:clientData/>
  </xdr:oneCellAnchor>
  <xdr:oneCellAnchor>
    <xdr:from>
      <xdr:col>1</xdr:col>
      <xdr:colOff>582658</xdr:colOff>
      <xdr:row>14</xdr:row>
      <xdr:rowOff>13061</xdr:rowOff>
    </xdr:from>
    <xdr:ext cx="2111556" cy="353302"/>
    <mc:AlternateContent xmlns:mc="http://schemas.openxmlformats.org/markup-compatibility/2006" xmlns:a14="http://schemas.microsoft.com/office/drawing/2010/main">
      <mc:Choice Requires="a14">
        <xdr:sp macro="" textlink="">
          <xdr:nvSpPr>
            <xdr:cNvPr id="6" name="文字方塊 5">
              <a:extLst>
                <a:ext uri="{FF2B5EF4-FFF2-40B4-BE49-F238E27FC236}">
                  <a16:creationId xmlns:a16="http://schemas.microsoft.com/office/drawing/2014/main" id="{00000000-0008-0000-0500-000006000000}"/>
                </a:ext>
              </a:extLst>
            </xdr:cNvPr>
            <xdr:cNvSpPr txBox="1"/>
          </xdr:nvSpPr>
          <xdr:spPr>
            <a:xfrm>
              <a:off x="2509429" y="3066504"/>
              <a:ext cx="2111556" cy="353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100" i="1">
                            <a:latin typeface="Cambria Math" panose="02040503050406030204" pitchFamily="18" charset="0"/>
                          </a:rPr>
                        </m:ctrlPr>
                      </m:sSubPr>
                      <m:e>
                        <m:r>
                          <a:rPr lang="en-US" altLang="zh-TW" sz="1100" b="0" i="1">
                            <a:latin typeface="Cambria Math" panose="02040503050406030204" pitchFamily="18" charset="0"/>
                          </a:rPr>
                          <m:t>𝐹</m:t>
                        </m:r>
                      </m:e>
                      <m:sub>
                        <m:r>
                          <a:rPr lang="en-US" altLang="zh-TW" sz="1100" b="0" i="1">
                            <a:latin typeface="Cambria Math" panose="02040503050406030204" pitchFamily="18" charset="0"/>
                          </a:rPr>
                          <m:t>𝑎𝑥𝑖𝑎𝑙</m:t>
                        </m:r>
                      </m:sub>
                    </m:sSub>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r>
                          <a:rPr lang="en-US" altLang="zh-TW" sz="1100" b="0" i="1">
                            <a:latin typeface="Cambria Math" panose="02040503050406030204" pitchFamily="18" charset="0"/>
                            <a:ea typeface="Cambria Math" panose="02040503050406030204" pitchFamily="18" charset="0"/>
                          </a:rPr>
                          <m:t>2</m:t>
                        </m:r>
                        <m:r>
                          <a:rPr lang="zh-TW" altLang="en-US" sz="1100" b="0" i="1">
                            <a:latin typeface="Cambria Math" panose="02040503050406030204" pitchFamily="18" charset="0"/>
                            <a:ea typeface="Cambria Math" panose="02040503050406030204" pitchFamily="18" charset="0"/>
                          </a:rPr>
                          <m:t>𝜋</m:t>
                        </m:r>
                        <m:r>
                          <a:rPr lang="zh-TW" altLang="en-US" sz="1100" b="0" i="1">
                            <a:latin typeface="Cambria Math" panose="02040503050406030204" pitchFamily="18" charset="0"/>
                            <a:ea typeface="Cambria Math" panose="02040503050406030204" pitchFamily="18" charset="0"/>
                          </a:rPr>
                          <m:t>∗</m:t>
                        </m:r>
                        <m:r>
                          <a:rPr lang="el-GR" altLang="zh-TW" sz="1100" b="0" i="1">
                            <a:latin typeface="Cambria Math" panose="02040503050406030204" pitchFamily="18" charset="0"/>
                            <a:ea typeface="Cambria Math" panose="02040503050406030204" pitchFamily="18" charset="0"/>
                          </a:rPr>
                          <m:t>𝜂</m:t>
                        </m:r>
                        <m:r>
                          <a:rPr lang="zh-TW" altLang="en-US" sz="1100" b="0" i="1">
                            <a:solidFill>
                              <a:schemeClr val="tx1"/>
                            </a:solidFill>
                            <a:effectLst/>
                            <a:latin typeface="Cambria Math" panose="02040503050406030204" pitchFamily="18" charset="0"/>
                            <a:ea typeface="+mn-ea"/>
                            <a:cs typeface="+mn-cs"/>
                          </a:rPr>
                          <m:t>∗</m:t>
                        </m:r>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𝑑𝑟𝑖𝑣𝑒</m:t>
                            </m:r>
                          </m:sub>
                        </m:sSub>
                        <m:r>
                          <a:rPr lang="en-US" altLang="zh-TW" sz="1100" b="0" i="1">
                            <a:solidFill>
                              <a:schemeClr val="tx1"/>
                            </a:solidFill>
                            <a:effectLst/>
                            <a:latin typeface="Cambria Math" panose="02040503050406030204" pitchFamily="18" charset="0"/>
                            <a:ea typeface="+mn-ea"/>
                            <a:cs typeface="+mn-cs"/>
                          </a:rPr>
                          <m:t>∗</m:t>
                        </m:r>
                        <m:sSub>
                          <m:sSubPr>
                            <m:ctrlPr>
                              <a:rPr lang="zh-TW" altLang="en-US"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𝑖</m:t>
                            </m:r>
                            <m:r>
                              <a:rPr lang="en-US" altLang="zh-TW" sz="1100" i="1">
                                <a:solidFill>
                                  <a:schemeClr val="tx1"/>
                                </a:solidFill>
                                <a:effectLst/>
                                <a:latin typeface="Cambria Math" panose="02040503050406030204" pitchFamily="18" charset="0"/>
                                <a:ea typeface="+mn-ea"/>
                                <a:cs typeface="+mn-cs"/>
                              </a:rPr>
                              <m:t>∗</m:t>
                            </m:r>
                            <m:r>
                              <a:rPr lang="el-GR" altLang="zh-TW" sz="1100" i="1">
                                <a:solidFill>
                                  <a:schemeClr val="tx1"/>
                                </a:solidFill>
                                <a:effectLst/>
                                <a:latin typeface="Cambria Math" panose="02040503050406030204" pitchFamily="18" charset="0"/>
                                <a:ea typeface="+mn-ea"/>
                                <a:cs typeface="+mn-cs"/>
                              </a:rPr>
                              <m:t>𝜂</m:t>
                            </m:r>
                          </m:e>
                          <m:sub>
                            <m:r>
                              <a:rPr lang="en-US" altLang="zh-TW" sz="1100" b="0" i="1">
                                <a:solidFill>
                                  <a:schemeClr val="tx1"/>
                                </a:solidFill>
                                <a:effectLst/>
                                <a:latin typeface="Cambria Math" panose="02040503050406030204" pitchFamily="18" charset="0"/>
                                <a:ea typeface="+mn-ea"/>
                                <a:cs typeface="+mn-cs"/>
                              </a:rPr>
                              <m:t>𝑝𝑢𝑙𝑙𝑒𝑦</m:t>
                            </m:r>
                          </m:sub>
                        </m:sSub>
                      </m:num>
                      <m:den>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𝑃</m:t>
                            </m:r>
                          </m:e>
                          <m:sub>
                            <m:r>
                              <a:rPr lang="en-US" altLang="zh-TW" sz="1100" b="0" i="1">
                                <a:latin typeface="Cambria Math" panose="02040503050406030204" pitchFamily="18" charset="0"/>
                              </a:rPr>
                              <m:t>h</m:t>
                            </m:r>
                          </m:sub>
                        </m:sSub>
                      </m:den>
                    </m:f>
                  </m:oMath>
                </m:oMathPara>
              </a14:m>
              <a:endParaRPr lang="zh-TW" altLang="en-US" sz="1100"/>
            </a:p>
          </xdr:txBody>
        </xdr:sp>
      </mc:Choice>
      <mc:Fallback xmlns="">
        <xdr:sp macro="" textlink="">
          <xdr:nvSpPr>
            <xdr:cNvPr id="6" name="文字方塊 5">
              <a:extLst>
                <a:ext uri="{FF2B5EF4-FFF2-40B4-BE49-F238E27FC236}">
                  <a16:creationId xmlns:a16="http://schemas.microsoft.com/office/drawing/2014/main" id="{00000000-0008-0000-0200-000006000000}"/>
                </a:ext>
              </a:extLst>
            </xdr:cNvPr>
            <xdr:cNvSpPr txBox="1"/>
          </xdr:nvSpPr>
          <xdr:spPr>
            <a:xfrm>
              <a:off x="2509429" y="3066504"/>
              <a:ext cx="2111556" cy="353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altLang="zh-TW" sz="1100" b="0" i="0">
                  <a:latin typeface="Cambria Math" panose="02040503050406030204" pitchFamily="18" charset="0"/>
                </a:rPr>
                <a:t>𝐹_𝑎𝑥𝑖𝑎𝑙=(</a:t>
              </a:r>
              <a:r>
                <a:rPr lang="en-US" altLang="zh-TW" sz="1100" b="0" i="0">
                  <a:latin typeface="Cambria Math" panose="02040503050406030204" pitchFamily="18" charset="0"/>
                  <a:ea typeface="Cambria Math" panose="02040503050406030204" pitchFamily="18" charset="0"/>
                </a:rPr>
                <a:t>2</a:t>
              </a:r>
              <a:r>
                <a:rPr lang="zh-TW" altLang="en-US" sz="1100" b="0" i="0">
                  <a:latin typeface="Cambria Math" panose="02040503050406030204" pitchFamily="18" charset="0"/>
                  <a:ea typeface="Cambria Math" panose="02040503050406030204" pitchFamily="18" charset="0"/>
                </a:rPr>
                <a:t>𝜋∗</a:t>
              </a:r>
              <a:r>
                <a:rPr lang="el-GR" altLang="zh-TW" sz="1100" b="0" i="0">
                  <a:latin typeface="Cambria Math" panose="02040503050406030204" pitchFamily="18" charset="0"/>
                  <a:ea typeface="Cambria Math" panose="02040503050406030204" pitchFamily="18" charset="0"/>
                </a:rPr>
                <a:t>𝜂</a:t>
              </a:r>
              <a:r>
                <a:rPr lang="zh-TW" altLang="en-US" sz="1100" b="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𝑇_𝑑𝑟𝑖𝑣𝑒∗</a:t>
              </a:r>
              <a:r>
                <a:rPr lang="zh-TW" altLang="en-US" sz="1100" b="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𝑖</a:t>
              </a:r>
              <a:r>
                <a:rPr lang="en-US" altLang="zh-TW" sz="1100" i="0">
                  <a:solidFill>
                    <a:schemeClr val="tx1"/>
                  </a:solidFill>
                  <a:effectLst/>
                  <a:latin typeface="Cambria Math" panose="02040503050406030204" pitchFamily="18" charset="0"/>
                  <a:ea typeface="+mn-ea"/>
                  <a:cs typeface="+mn-cs"/>
                </a:rPr>
                <a:t>∗</a:t>
              </a:r>
              <a:r>
                <a:rPr lang="el-GR" altLang="zh-TW" sz="1100" i="0">
                  <a:solidFill>
                    <a:schemeClr val="tx1"/>
                  </a:solidFill>
                  <a:effectLst/>
                  <a:latin typeface="Cambria Math" panose="02040503050406030204" pitchFamily="18" charset="0"/>
                  <a:ea typeface="+mn-ea"/>
                  <a:cs typeface="+mn-cs"/>
                </a:rPr>
                <a:t>𝜂</a:t>
              </a:r>
              <a:r>
                <a:rPr lang="zh-TW" altLang="en-US"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𝑝𝑢𝑙𝑙𝑒𝑦)/</a:t>
              </a:r>
              <a:r>
                <a:rPr lang="en-US" altLang="zh-TW" sz="1100" b="0" i="0">
                  <a:latin typeface="Cambria Math" panose="02040503050406030204" pitchFamily="18" charset="0"/>
                </a:rPr>
                <a:t>𝑃_ℎ </a:t>
              </a:r>
              <a:endParaRPr lang="zh-TW" altLang="en-US"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588845</xdr:colOff>
      <xdr:row>11</xdr:row>
      <xdr:rowOff>25166</xdr:rowOff>
    </xdr:from>
    <xdr:ext cx="1543553" cy="390424"/>
    <mc:AlternateContent xmlns:mc="http://schemas.openxmlformats.org/markup-compatibility/2006" xmlns:a14="http://schemas.microsoft.com/office/drawing/2010/main">
      <mc:Choice Requires="a14">
        <xdr:sp macro="" textlink="">
          <xdr:nvSpPr>
            <xdr:cNvPr id="3" name="文字方塊 2">
              <a:extLst>
                <a:ext uri="{FF2B5EF4-FFF2-40B4-BE49-F238E27FC236}">
                  <a16:creationId xmlns:a16="http://schemas.microsoft.com/office/drawing/2014/main" id="{00000000-0008-0000-0600-000003000000}"/>
                </a:ext>
              </a:extLst>
            </xdr:cNvPr>
            <xdr:cNvSpPr txBox="1"/>
          </xdr:nvSpPr>
          <xdr:spPr>
            <a:xfrm>
              <a:off x="2889884" y="2611955"/>
              <a:ext cx="1543553" cy="390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altLang="zh-TW" sz="1100" i="1">
                            <a:latin typeface="Cambria Math" panose="02040503050406030204" pitchFamily="18" charset="0"/>
                          </a:rPr>
                        </m:ctrlPr>
                      </m:sSubPr>
                      <m:e>
                        <m:r>
                          <a:rPr lang="en-US" altLang="zh-TW" sz="1100" b="0" i="1">
                            <a:latin typeface="Cambria Math" panose="02040503050406030204" pitchFamily="18" charset="0"/>
                          </a:rPr>
                          <m:t>𝑃</m:t>
                        </m:r>
                      </m:e>
                      <m:sub>
                        <m:r>
                          <a:rPr lang="en-US" altLang="zh-TW" sz="1100" b="0" i="1">
                            <a:latin typeface="Cambria Math" panose="02040503050406030204" pitchFamily="18" charset="0"/>
                          </a:rPr>
                          <m:t>𝑘𝑊</m:t>
                        </m:r>
                      </m:sub>
                    </m:sSub>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𝑇</m:t>
                            </m:r>
                          </m:e>
                          <m:sub>
                            <m:r>
                              <a:rPr lang="en-US" altLang="zh-TW" sz="1100" b="0" i="1">
                                <a:latin typeface="Cambria Math" panose="02040503050406030204" pitchFamily="18" charset="0"/>
                              </a:rPr>
                              <m:t>𝑑𝑟𝑖𝑣𝑒</m:t>
                            </m:r>
                          </m:sub>
                        </m:sSub>
                        <m:r>
                          <a:rPr lang="en-US" altLang="zh-TW" sz="1100" b="0" i="1">
                            <a:latin typeface="Cambria Math" panose="02040503050406030204" pitchFamily="18" charset="0"/>
                          </a:rPr>
                          <m:t>∗2</m:t>
                        </m:r>
                        <m:r>
                          <a:rPr lang="zh-TW" altLang="en-US" sz="1100" b="0" i="1">
                            <a:latin typeface="Cambria Math" panose="02040503050406030204" pitchFamily="18" charset="0"/>
                          </a:rPr>
                          <m:t>𝜋</m:t>
                        </m:r>
                        <m:r>
                          <a:rPr lang="en-US" altLang="zh-TW" sz="1100" b="0" i="1">
                            <a:latin typeface="Cambria Math" panose="02040503050406030204" pitchFamily="18" charset="0"/>
                          </a:rPr>
                          <m:t>∗</m:t>
                        </m:r>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𝑅</m:t>
                            </m:r>
                          </m:e>
                          <m:sub>
                            <m:r>
                              <a:rPr lang="en-US" altLang="zh-TW" sz="1100" b="0" i="1">
                                <a:latin typeface="Cambria Math" panose="02040503050406030204" pitchFamily="18" charset="0"/>
                              </a:rPr>
                              <m:t>𝑟𝑝𝑚</m:t>
                            </m:r>
                          </m:sub>
                        </m:sSub>
                      </m:num>
                      <m:den>
                        <m:r>
                          <a:rPr lang="en-US" altLang="zh-TW" sz="1100" b="0" i="1">
                            <a:latin typeface="Cambria Math" panose="02040503050406030204" pitchFamily="18" charset="0"/>
                          </a:rPr>
                          <m:t>60∗1000</m:t>
                        </m:r>
                      </m:den>
                    </m:f>
                  </m:oMath>
                </m:oMathPara>
              </a14:m>
              <a:endParaRPr lang="zh-TW" altLang="en-US" sz="1100"/>
            </a:p>
          </xdr:txBody>
        </xdr:sp>
      </mc:Choice>
      <mc:Fallback xmlns="">
        <xdr:sp macro="" textlink="">
          <xdr:nvSpPr>
            <xdr:cNvPr id="3" name="文字方塊 2">
              <a:extLst>
                <a:ext uri="{FF2B5EF4-FFF2-40B4-BE49-F238E27FC236}">
                  <a16:creationId xmlns:a16="http://schemas.microsoft.com/office/drawing/2014/main" id="{67E129A2-22CF-41D8-A336-E95A78B3324C}"/>
                </a:ext>
              </a:extLst>
            </xdr:cNvPr>
            <xdr:cNvSpPr txBox="1"/>
          </xdr:nvSpPr>
          <xdr:spPr>
            <a:xfrm>
              <a:off x="2889884" y="2611955"/>
              <a:ext cx="1543553" cy="390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altLang="zh-TW" sz="1100" b="0" i="0">
                  <a:latin typeface="Cambria Math" panose="02040503050406030204" pitchFamily="18" charset="0"/>
                </a:rPr>
                <a:t>𝑃_𝑘𝑊=(𝑇_𝑑𝑟𝑖𝑣𝑒∗2</a:t>
              </a:r>
              <a:r>
                <a:rPr lang="zh-TW" altLang="en-US" sz="1100" b="0" i="0">
                  <a:latin typeface="Cambria Math" panose="02040503050406030204" pitchFamily="18" charset="0"/>
                </a:rPr>
                <a:t>𝜋</a:t>
              </a:r>
              <a:r>
                <a:rPr lang="en-US" altLang="zh-TW" sz="1100" b="0" i="0">
                  <a:latin typeface="Cambria Math" panose="02040503050406030204" pitchFamily="18" charset="0"/>
                </a:rPr>
                <a:t>∗𝑅_𝑟𝑝𝑚)/(60∗1000)</a:t>
              </a:r>
              <a:endParaRPr lang="zh-TW" altLang="en-US" sz="1100"/>
            </a:p>
          </xdr:txBody>
        </xdr:sp>
      </mc:Fallback>
    </mc:AlternateContent>
    <xdr:clientData/>
  </xdr:oneCellAnchor>
  <xdr:oneCellAnchor>
    <xdr:from>
      <xdr:col>2</xdr:col>
      <xdr:colOff>590349</xdr:colOff>
      <xdr:row>1</xdr:row>
      <xdr:rowOff>53841</xdr:rowOff>
    </xdr:from>
    <xdr:ext cx="421782" cy="344582"/>
    <mc:AlternateContent xmlns:mc="http://schemas.openxmlformats.org/markup-compatibility/2006" xmlns:a14="http://schemas.microsoft.com/office/drawing/2010/main">
      <mc:Choice Requires="a14">
        <xdr:sp macro="" textlink="">
          <xdr:nvSpPr>
            <xdr:cNvPr id="4" name="文字方塊 3">
              <a:extLst>
                <a:ext uri="{FF2B5EF4-FFF2-40B4-BE49-F238E27FC236}">
                  <a16:creationId xmlns:a16="http://schemas.microsoft.com/office/drawing/2014/main" id="{00000000-0008-0000-0600-000004000000}"/>
                </a:ext>
              </a:extLst>
            </xdr:cNvPr>
            <xdr:cNvSpPr txBox="1"/>
          </xdr:nvSpPr>
          <xdr:spPr>
            <a:xfrm>
              <a:off x="2891388" y="294473"/>
              <a:ext cx="421782" cy="344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altLang="zh-TW" sz="1100" b="0" i="1">
                        <a:latin typeface="Cambria Math" panose="02040503050406030204" pitchFamily="18" charset="0"/>
                      </a:rPr>
                      <m:t>𝑖</m:t>
                    </m:r>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𝑁</m:t>
                            </m:r>
                          </m:e>
                          <m:sub>
                            <m:r>
                              <a:rPr lang="en-US" altLang="zh-TW" sz="1100" b="0" i="1">
                                <a:latin typeface="Cambria Math" panose="02040503050406030204" pitchFamily="18" charset="0"/>
                              </a:rPr>
                              <m:t>2</m:t>
                            </m:r>
                          </m:sub>
                        </m:sSub>
                      </m:num>
                      <m:den>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𝑁</m:t>
                            </m:r>
                          </m:e>
                          <m:sub>
                            <m:r>
                              <a:rPr lang="en-US" altLang="zh-TW" sz="1100" b="0" i="1">
                                <a:latin typeface="Cambria Math" panose="02040503050406030204" pitchFamily="18" charset="0"/>
                              </a:rPr>
                              <m:t>1</m:t>
                            </m:r>
                          </m:sub>
                        </m:sSub>
                      </m:den>
                    </m:f>
                  </m:oMath>
                </m:oMathPara>
              </a14:m>
              <a:endParaRPr lang="zh-TW" altLang="en-US" sz="1100"/>
            </a:p>
          </xdr:txBody>
        </xdr:sp>
      </mc:Choice>
      <mc:Fallback xmlns="">
        <xdr:sp macro="" textlink="">
          <xdr:nvSpPr>
            <xdr:cNvPr id="4" name="文字方塊 3">
              <a:extLst>
                <a:ext uri="{FF2B5EF4-FFF2-40B4-BE49-F238E27FC236}">
                  <a16:creationId xmlns:a16="http://schemas.microsoft.com/office/drawing/2014/main" id="{00000000-0008-0000-0300-000004000000}"/>
                </a:ext>
              </a:extLst>
            </xdr:cNvPr>
            <xdr:cNvSpPr txBox="1"/>
          </xdr:nvSpPr>
          <xdr:spPr>
            <a:xfrm>
              <a:off x="2891388" y="294473"/>
              <a:ext cx="421782" cy="344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altLang="zh-TW" sz="1100" b="0" i="0">
                  <a:latin typeface="Cambria Math" panose="02040503050406030204" pitchFamily="18" charset="0"/>
                </a:rPr>
                <a:t>𝑖=𝑁_2/𝑁_1 </a:t>
              </a:r>
              <a:endParaRPr lang="zh-TW" altLang="en-US" sz="1100"/>
            </a:p>
          </xdr:txBody>
        </xdr:sp>
      </mc:Fallback>
    </mc:AlternateContent>
    <xdr:clientData/>
  </xdr:oneCellAnchor>
  <xdr:oneCellAnchor>
    <xdr:from>
      <xdr:col>2</xdr:col>
      <xdr:colOff>609301</xdr:colOff>
      <xdr:row>0</xdr:row>
      <xdr:rowOff>35092</xdr:rowOff>
    </xdr:from>
    <xdr:ext cx="1584123" cy="240632"/>
    <mc:AlternateContent xmlns:mc="http://schemas.openxmlformats.org/markup-compatibility/2006" xmlns:a14="http://schemas.microsoft.com/office/drawing/2010/main">
      <mc:Choice Requires="a14">
        <xdr:sp macro="" textlink="">
          <xdr:nvSpPr>
            <xdr:cNvPr id="5" name="文字方塊 4">
              <a:extLst>
                <a:ext uri="{FF2B5EF4-FFF2-40B4-BE49-F238E27FC236}">
                  <a16:creationId xmlns:a16="http://schemas.microsoft.com/office/drawing/2014/main" id="{00000000-0008-0000-0600-000005000000}"/>
                </a:ext>
              </a:extLst>
            </xdr:cNvPr>
            <xdr:cNvSpPr txBox="1"/>
          </xdr:nvSpPr>
          <xdr:spPr>
            <a:xfrm>
              <a:off x="2910340" y="35092"/>
              <a:ext cx="1584123" cy="24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zh-TW" altLang="zh-TW" sz="1100" i="1">
                            <a:solidFill>
                              <a:schemeClr val="tx1"/>
                            </a:solidFill>
                            <a:effectLst/>
                            <a:latin typeface="Cambria Math" panose="02040503050406030204" pitchFamily="18" charset="0"/>
                            <a:ea typeface="+mn-ea"/>
                            <a:cs typeface="+mn-cs"/>
                          </a:rPr>
                        </m:ctrlPr>
                      </m:sSubPr>
                      <m:e>
                        <m:r>
                          <a:rPr lang="en-US" altLang="zh-TW" sz="110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𝑎𝑥𝑖𝑎𝑙</m:t>
                        </m:r>
                      </m:sub>
                    </m:sSub>
                    <m:r>
                      <a:rPr lang="en-US" altLang="zh-TW" sz="1100" i="1">
                        <a:solidFill>
                          <a:schemeClr val="tx1"/>
                        </a:solidFill>
                        <a:effectLst/>
                        <a:latin typeface="Cambria Math" panose="02040503050406030204" pitchFamily="18" charset="0"/>
                        <a:ea typeface="+mn-ea"/>
                        <a:cs typeface="+mn-cs"/>
                      </a:rPr>
                      <m:t>=</m:t>
                    </m:r>
                    <m:sSub>
                      <m:sSubPr>
                        <m:ctrlPr>
                          <a:rPr lang="zh-TW" altLang="zh-TW"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𝑑𝑟𝑖𝑣𝑒</m:t>
                        </m:r>
                      </m:sub>
                    </m:sSub>
                    <m:r>
                      <a:rPr lang="en-US" altLang="zh-TW" sz="1100" i="1">
                        <a:solidFill>
                          <a:schemeClr val="tx1"/>
                        </a:solidFill>
                        <a:effectLst/>
                        <a:latin typeface="Cambria Math" panose="02040503050406030204" pitchFamily="18" charset="0"/>
                        <a:ea typeface="+mn-ea"/>
                        <a:cs typeface="+mn-cs"/>
                      </a:rPr>
                      <m:t>∗</m:t>
                    </m:r>
                    <m:sSub>
                      <m:sSubPr>
                        <m:ctrlPr>
                          <a:rPr lang="zh-TW" altLang="zh-TW"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𝑖</m:t>
                        </m:r>
                        <m:r>
                          <a:rPr lang="en-US" altLang="zh-TW" sz="1100" i="1">
                            <a:solidFill>
                              <a:schemeClr val="tx1"/>
                            </a:solidFill>
                            <a:effectLst/>
                            <a:latin typeface="Cambria Math" panose="02040503050406030204" pitchFamily="18" charset="0"/>
                            <a:ea typeface="+mn-ea"/>
                            <a:cs typeface="+mn-cs"/>
                          </a:rPr>
                          <m:t>∗</m:t>
                        </m:r>
                        <m:r>
                          <a:rPr lang="el-GR" altLang="zh-TW" sz="1100" i="1">
                            <a:solidFill>
                              <a:schemeClr val="tx1"/>
                            </a:solidFill>
                            <a:effectLst/>
                            <a:latin typeface="Cambria Math" panose="02040503050406030204" pitchFamily="18" charset="0"/>
                            <a:ea typeface="+mn-ea"/>
                            <a:cs typeface="+mn-cs"/>
                          </a:rPr>
                          <m:t>𝜂</m:t>
                        </m:r>
                      </m:e>
                      <m:sub>
                        <m:r>
                          <a:rPr lang="en-US" altLang="zh-TW" sz="1100" b="0" i="1">
                            <a:solidFill>
                              <a:schemeClr val="tx1"/>
                            </a:solidFill>
                            <a:effectLst/>
                            <a:latin typeface="Cambria Math" panose="02040503050406030204" pitchFamily="18" charset="0"/>
                            <a:ea typeface="+mn-ea"/>
                            <a:cs typeface="+mn-cs"/>
                          </a:rPr>
                          <m:t>𝑝𝑢𝑙𝑙𝑒𝑦</m:t>
                        </m:r>
                      </m:sub>
                    </m:sSub>
                  </m:oMath>
                </m:oMathPara>
              </a14:m>
              <a:endParaRPr lang="zh-TW" altLang="zh-TW" sz="1100">
                <a:solidFill>
                  <a:schemeClr val="tx1"/>
                </a:solidFill>
                <a:effectLst/>
                <a:latin typeface="+mn-lt"/>
                <a:ea typeface="+mn-ea"/>
                <a:cs typeface="+mn-cs"/>
              </a:endParaRPr>
            </a:p>
          </xdr:txBody>
        </xdr:sp>
      </mc:Choice>
      <mc:Fallback xmlns="">
        <xdr:sp macro="" textlink="">
          <xdr:nvSpPr>
            <xdr:cNvPr id="5" name="文字方塊 4">
              <a:extLst>
                <a:ext uri="{FF2B5EF4-FFF2-40B4-BE49-F238E27FC236}">
                  <a16:creationId xmlns:a16="http://schemas.microsoft.com/office/drawing/2014/main" id="{A5AF175E-A610-47B7-BC17-FC73EB38A0F0}"/>
                </a:ext>
              </a:extLst>
            </xdr:cNvPr>
            <xdr:cNvSpPr txBox="1"/>
          </xdr:nvSpPr>
          <xdr:spPr>
            <a:xfrm>
              <a:off x="2910340" y="35092"/>
              <a:ext cx="1584123" cy="24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altLang="zh-TW" sz="1100" i="0">
                  <a:solidFill>
                    <a:schemeClr val="tx1"/>
                  </a:solidFill>
                  <a:effectLst/>
                  <a:latin typeface="Cambria Math" panose="02040503050406030204" pitchFamily="18" charset="0"/>
                  <a:ea typeface="+mn-ea"/>
                  <a:cs typeface="+mn-cs"/>
                </a:rPr>
                <a:t>𝑇</a:t>
              </a:r>
              <a:r>
                <a:rPr lang="zh-TW" altLang="zh-TW"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𝑎𝑥𝑖𝑎𝑙</a:t>
              </a:r>
              <a:r>
                <a:rPr lang="en-US" altLang="zh-TW" sz="110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𝑇</a:t>
              </a:r>
              <a:r>
                <a:rPr lang="zh-TW" altLang="zh-TW" sz="1100" b="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𝑑𝑟𝑖𝑣𝑒</a:t>
              </a:r>
              <a:r>
                <a:rPr lang="en-US" altLang="zh-TW" sz="1100" i="0">
                  <a:solidFill>
                    <a:schemeClr val="tx1"/>
                  </a:solidFill>
                  <a:effectLst/>
                  <a:latin typeface="Cambria Math" panose="02040503050406030204" pitchFamily="18" charset="0"/>
                  <a:ea typeface="+mn-ea"/>
                  <a:cs typeface="+mn-cs"/>
                </a:rPr>
                <a:t>∗</a:t>
              </a:r>
              <a:r>
                <a:rPr lang="zh-TW" altLang="zh-TW" sz="110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𝑖</a:t>
              </a:r>
              <a:r>
                <a:rPr lang="en-US" altLang="zh-TW" sz="1100" i="0">
                  <a:solidFill>
                    <a:schemeClr val="tx1"/>
                  </a:solidFill>
                  <a:effectLst/>
                  <a:latin typeface="Cambria Math" panose="02040503050406030204" pitchFamily="18" charset="0"/>
                  <a:ea typeface="+mn-ea"/>
                  <a:cs typeface="+mn-cs"/>
                </a:rPr>
                <a:t>∗</a:t>
              </a:r>
              <a:r>
                <a:rPr lang="el-GR" altLang="zh-TW" sz="1100" i="0">
                  <a:solidFill>
                    <a:schemeClr val="tx1"/>
                  </a:solidFill>
                  <a:effectLst/>
                  <a:latin typeface="Cambria Math" panose="02040503050406030204" pitchFamily="18" charset="0"/>
                  <a:ea typeface="+mn-ea"/>
                  <a:cs typeface="+mn-cs"/>
                </a:rPr>
                <a:t>𝜂</a:t>
              </a:r>
              <a:r>
                <a:rPr lang="zh-TW" altLang="zh-TW"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𝑝𝑢𝑙𝑙𝑒𝑦</a:t>
              </a:r>
              <a:endParaRPr lang="zh-TW" altLang="zh-TW" sz="1100">
                <a:solidFill>
                  <a:schemeClr val="tx1"/>
                </a:solidFill>
                <a:effectLst/>
                <a:latin typeface="+mn-lt"/>
                <a:ea typeface="+mn-ea"/>
                <a:cs typeface="+mn-cs"/>
              </a:endParaRPr>
            </a:p>
          </xdr:txBody>
        </xdr:sp>
      </mc:Fallback>
    </mc:AlternateContent>
    <xdr:clientData/>
  </xdr:oneCellAnchor>
  <xdr:oneCellAnchor>
    <xdr:from>
      <xdr:col>2</xdr:col>
      <xdr:colOff>500914</xdr:colOff>
      <xdr:row>9</xdr:row>
      <xdr:rowOff>25466</xdr:rowOff>
    </xdr:from>
    <xdr:ext cx="2302996" cy="353302"/>
    <mc:AlternateContent xmlns:mc="http://schemas.openxmlformats.org/markup-compatibility/2006" xmlns:a14="http://schemas.microsoft.com/office/drawing/2010/main">
      <mc:Choice Requires="a14">
        <xdr:sp macro="" textlink="">
          <xdr:nvSpPr>
            <xdr:cNvPr id="6" name="文字方塊 5">
              <a:extLst>
                <a:ext uri="{FF2B5EF4-FFF2-40B4-BE49-F238E27FC236}">
                  <a16:creationId xmlns:a16="http://schemas.microsoft.com/office/drawing/2014/main" id="{00000000-0008-0000-0600-000006000000}"/>
                </a:ext>
              </a:extLst>
            </xdr:cNvPr>
            <xdr:cNvSpPr txBox="1"/>
          </xdr:nvSpPr>
          <xdr:spPr>
            <a:xfrm>
              <a:off x="2801953" y="2161071"/>
              <a:ext cx="2302996" cy="353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100" i="1">
                            <a:latin typeface="Cambria Math" panose="02040503050406030204" pitchFamily="18" charset="0"/>
                          </a:rPr>
                        </m:ctrlPr>
                      </m:sSubPr>
                      <m:e>
                        <m:r>
                          <a:rPr lang="en-US" altLang="zh-TW" sz="1100" b="0" i="1">
                            <a:latin typeface="Cambria Math" panose="02040503050406030204" pitchFamily="18" charset="0"/>
                          </a:rPr>
                          <m:t>𝐹</m:t>
                        </m:r>
                      </m:e>
                      <m:sub>
                        <m:r>
                          <a:rPr lang="en-US" altLang="zh-TW" sz="1100" b="0" i="1">
                            <a:latin typeface="Cambria Math" panose="02040503050406030204" pitchFamily="18" charset="0"/>
                          </a:rPr>
                          <m:t>𝑎𝑥𝑖𝑎𝑙</m:t>
                        </m:r>
                      </m:sub>
                    </m:sSub>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r>
                          <a:rPr lang="en-US" altLang="zh-TW" sz="1100" b="0" i="1">
                            <a:latin typeface="Cambria Math" panose="02040503050406030204" pitchFamily="18" charset="0"/>
                            <a:ea typeface="Cambria Math" panose="02040503050406030204" pitchFamily="18" charset="0"/>
                          </a:rPr>
                          <m:t>2</m:t>
                        </m:r>
                        <m:r>
                          <a:rPr lang="zh-TW" altLang="en-US" sz="1100" b="0" i="1">
                            <a:latin typeface="Cambria Math" panose="02040503050406030204" pitchFamily="18" charset="0"/>
                            <a:ea typeface="Cambria Math" panose="02040503050406030204" pitchFamily="18" charset="0"/>
                          </a:rPr>
                          <m:t>𝜋</m:t>
                        </m:r>
                        <m:r>
                          <a:rPr lang="zh-TW" altLang="en-US" sz="1100" b="0" i="1">
                            <a:latin typeface="Cambria Math" panose="02040503050406030204" pitchFamily="18" charset="0"/>
                            <a:ea typeface="Cambria Math" panose="02040503050406030204" pitchFamily="18" charset="0"/>
                          </a:rPr>
                          <m:t>∗</m:t>
                        </m:r>
                        <m:r>
                          <a:rPr lang="el-GR" altLang="zh-TW" sz="1100" b="0" i="1">
                            <a:latin typeface="Cambria Math" panose="02040503050406030204" pitchFamily="18" charset="0"/>
                            <a:ea typeface="Cambria Math" panose="02040503050406030204" pitchFamily="18" charset="0"/>
                          </a:rPr>
                          <m:t>𝜂</m:t>
                        </m:r>
                        <m:r>
                          <a:rPr lang="zh-TW" altLang="en-US" sz="1100" b="0" i="1">
                            <a:solidFill>
                              <a:schemeClr val="tx1"/>
                            </a:solidFill>
                            <a:effectLst/>
                            <a:latin typeface="Cambria Math" panose="02040503050406030204" pitchFamily="18" charset="0"/>
                            <a:ea typeface="+mn-ea"/>
                            <a:cs typeface="+mn-cs"/>
                          </a:rPr>
                          <m:t>∗</m:t>
                        </m:r>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𝑑𝑟𝑖𝑣𝑒</m:t>
                            </m:r>
                          </m:sub>
                        </m:sSub>
                        <m:r>
                          <a:rPr lang="en-US" altLang="zh-TW" sz="1100" b="0" i="1">
                            <a:solidFill>
                              <a:schemeClr val="tx1"/>
                            </a:solidFill>
                            <a:effectLst/>
                            <a:latin typeface="Cambria Math" panose="02040503050406030204" pitchFamily="18" charset="0"/>
                            <a:ea typeface="+mn-ea"/>
                            <a:cs typeface="+mn-cs"/>
                          </a:rPr>
                          <m:t>∗</m:t>
                        </m:r>
                        <m:sSub>
                          <m:sSubPr>
                            <m:ctrlPr>
                              <a:rPr lang="zh-TW" altLang="en-US"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𝑖</m:t>
                            </m:r>
                            <m:r>
                              <a:rPr lang="en-US" altLang="zh-TW" sz="1100" i="1">
                                <a:solidFill>
                                  <a:schemeClr val="tx1"/>
                                </a:solidFill>
                                <a:effectLst/>
                                <a:latin typeface="Cambria Math" panose="02040503050406030204" pitchFamily="18" charset="0"/>
                                <a:ea typeface="+mn-ea"/>
                                <a:cs typeface="+mn-cs"/>
                              </a:rPr>
                              <m:t>∗</m:t>
                            </m:r>
                            <m:r>
                              <a:rPr lang="el-GR" altLang="zh-TW" sz="1100" i="1">
                                <a:solidFill>
                                  <a:schemeClr val="tx1"/>
                                </a:solidFill>
                                <a:effectLst/>
                                <a:latin typeface="Cambria Math" panose="02040503050406030204" pitchFamily="18" charset="0"/>
                                <a:ea typeface="+mn-ea"/>
                                <a:cs typeface="+mn-cs"/>
                              </a:rPr>
                              <m:t>𝜂</m:t>
                            </m:r>
                          </m:e>
                          <m:sub>
                            <m:r>
                              <a:rPr lang="en-US" altLang="zh-TW" sz="1100" b="0" i="1">
                                <a:solidFill>
                                  <a:schemeClr val="tx1"/>
                                </a:solidFill>
                                <a:effectLst/>
                                <a:latin typeface="Cambria Math" panose="02040503050406030204" pitchFamily="18" charset="0"/>
                                <a:ea typeface="+mn-ea"/>
                                <a:cs typeface="+mn-cs"/>
                              </a:rPr>
                              <m:t>𝑝𝑢𝑙𝑙𝑒𝑦</m:t>
                            </m:r>
                          </m:sub>
                        </m:sSub>
                      </m:num>
                      <m:den>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𝑃</m:t>
                            </m:r>
                          </m:e>
                          <m:sub>
                            <m:r>
                              <a:rPr lang="en-US" altLang="zh-TW" sz="1100" b="0" i="1">
                                <a:latin typeface="Cambria Math" panose="02040503050406030204" pitchFamily="18" charset="0"/>
                              </a:rPr>
                              <m:t>h</m:t>
                            </m:r>
                          </m:sub>
                        </m:sSub>
                      </m:den>
                    </m:f>
                  </m:oMath>
                </m:oMathPara>
              </a14:m>
              <a:endParaRPr lang="zh-TW" altLang="en-US" sz="1100"/>
            </a:p>
          </xdr:txBody>
        </xdr:sp>
      </mc:Choice>
      <mc:Fallback xmlns="">
        <xdr:sp macro="" textlink="">
          <xdr:nvSpPr>
            <xdr:cNvPr id="6" name="文字方塊 5">
              <a:extLst>
                <a:ext uri="{FF2B5EF4-FFF2-40B4-BE49-F238E27FC236}">
                  <a16:creationId xmlns:a16="http://schemas.microsoft.com/office/drawing/2014/main" id="{4848BA94-D7A7-4465-A10D-B41055CAA808}"/>
                </a:ext>
              </a:extLst>
            </xdr:cNvPr>
            <xdr:cNvSpPr txBox="1"/>
          </xdr:nvSpPr>
          <xdr:spPr>
            <a:xfrm>
              <a:off x="2801953" y="2161071"/>
              <a:ext cx="2302996" cy="353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altLang="zh-TW" sz="1100" b="0" i="0">
                  <a:latin typeface="Cambria Math" panose="02040503050406030204" pitchFamily="18" charset="0"/>
                </a:rPr>
                <a:t>𝐹_𝑎𝑥𝑖𝑎𝑙=(</a:t>
              </a:r>
              <a:r>
                <a:rPr lang="en-US" altLang="zh-TW" sz="1100" b="0" i="0">
                  <a:latin typeface="Cambria Math" panose="02040503050406030204" pitchFamily="18" charset="0"/>
                  <a:ea typeface="Cambria Math" panose="02040503050406030204" pitchFamily="18" charset="0"/>
                </a:rPr>
                <a:t>2</a:t>
              </a:r>
              <a:r>
                <a:rPr lang="zh-TW" altLang="en-US" sz="1100" b="0" i="0">
                  <a:latin typeface="Cambria Math" panose="02040503050406030204" pitchFamily="18" charset="0"/>
                  <a:ea typeface="Cambria Math" panose="02040503050406030204" pitchFamily="18" charset="0"/>
                </a:rPr>
                <a:t>𝜋∗</a:t>
              </a:r>
              <a:r>
                <a:rPr lang="el-GR" altLang="zh-TW" sz="1100" b="0" i="0">
                  <a:latin typeface="Cambria Math" panose="02040503050406030204" pitchFamily="18" charset="0"/>
                  <a:ea typeface="Cambria Math" panose="02040503050406030204" pitchFamily="18" charset="0"/>
                </a:rPr>
                <a:t>𝜂</a:t>
              </a:r>
              <a:r>
                <a:rPr lang="zh-TW" altLang="en-US" sz="1100" b="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𝑇_𝑑𝑟𝑖𝑣𝑒∗</a:t>
              </a:r>
              <a:r>
                <a:rPr lang="zh-TW" altLang="en-US" sz="1100" b="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𝑖</a:t>
              </a:r>
              <a:r>
                <a:rPr lang="en-US" altLang="zh-TW" sz="1100" i="0">
                  <a:solidFill>
                    <a:schemeClr val="tx1"/>
                  </a:solidFill>
                  <a:effectLst/>
                  <a:latin typeface="Cambria Math" panose="02040503050406030204" pitchFamily="18" charset="0"/>
                  <a:ea typeface="+mn-ea"/>
                  <a:cs typeface="+mn-cs"/>
                </a:rPr>
                <a:t>∗</a:t>
              </a:r>
              <a:r>
                <a:rPr lang="el-GR" altLang="zh-TW" sz="1100" i="0">
                  <a:solidFill>
                    <a:schemeClr val="tx1"/>
                  </a:solidFill>
                  <a:effectLst/>
                  <a:latin typeface="Cambria Math" panose="02040503050406030204" pitchFamily="18" charset="0"/>
                  <a:ea typeface="+mn-ea"/>
                  <a:cs typeface="+mn-cs"/>
                </a:rPr>
                <a:t>𝜂</a:t>
              </a:r>
              <a:r>
                <a:rPr lang="zh-TW" altLang="en-US"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𝑝𝑢𝑙𝑙𝑒𝑦)/</a:t>
              </a:r>
              <a:r>
                <a:rPr lang="en-US" altLang="zh-TW" sz="1100" b="0" i="0">
                  <a:latin typeface="Cambria Math" panose="02040503050406030204" pitchFamily="18" charset="0"/>
                </a:rPr>
                <a:t>𝑃_ℎ </a:t>
              </a:r>
              <a:endParaRPr lang="zh-TW" altLang="en-US" sz="1100"/>
            </a:p>
          </xdr:txBody>
        </xdr:sp>
      </mc:Fallback>
    </mc:AlternateContent>
    <xdr:clientData/>
  </xdr:oneCellAnchor>
  <xdr:oneCellAnchor>
    <xdr:from>
      <xdr:col>2</xdr:col>
      <xdr:colOff>602181</xdr:colOff>
      <xdr:row>7</xdr:row>
      <xdr:rowOff>64871</xdr:rowOff>
    </xdr:from>
    <xdr:ext cx="1636295" cy="364395"/>
    <mc:AlternateContent xmlns:mc="http://schemas.openxmlformats.org/markup-compatibility/2006" xmlns:a14="http://schemas.microsoft.com/office/drawing/2010/main">
      <mc:Choice Requires="a14">
        <xdr:sp macro="" textlink="">
          <xdr:nvSpPr>
            <xdr:cNvPr id="7" name="文字方塊 6">
              <a:extLst>
                <a:ext uri="{FF2B5EF4-FFF2-40B4-BE49-F238E27FC236}">
                  <a16:creationId xmlns:a16="http://schemas.microsoft.com/office/drawing/2014/main" id="{00000000-0008-0000-0600-000007000000}"/>
                </a:ext>
              </a:extLst>
            </xdr:cNvPr>
            <xdr:cNvSpPr txBox="1"/>
          </xdr:nvSpPr>
          <xdr:spPr>
            <a:xfrm>
              <a:off x="2903220" y="1749292"/>
              <a:ext cx="1636295" cy="364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𝑑𝑟𝑖𝑣𝑒</m:t>
                        </m:r>
                      </m:sub>
                    </m:sSub>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𝐹</m:t>
                            </m:r>
                          </m:e>
                          <m:sub>
                            <m:r>
                              <a:rPr lang="en-US" altLang="zh-TW" sz="1100" b="0" i="1">
                                <a:solidFill>
                                  <a:schemeClr val="tx1"/>
                                </a:solidFill>
                                <a:effectLst/>
                                <a:latin typeface="Cambria Math" panose="02040503050406030204" pitchFamily="18" charset="0"/>
                                <a:ea typeface="+mn-ea"/>
                                <a:cs typeface="+mn-cs"/>
                              </a:rPr>
                              <m:t>𝑎𝑥𝑖𝑎𝑙</m:t>
                            </m:r>
                          </m:sub>
                        </m:sSub>
                        <m:r>
                          <a:rPr lang="en-US" altLang="zh-TW" sz="1100" b="0" i="1">
                            <a:solidFill>
                              <a:schemeClr val="tx1"/>
                            </a:solidFill>
                            <a:effectLst/>
                            <a:latin typeface="Cambria Math" panose="02040503050406030204" pitchFamily="18" charset="0"/>
                            <a:ea typeface="+mn-ea"/>
                            <a:cs typeface="+mn-cs"/>
                          </a:rPr>
                          <m:t>∗</m:t>
                        </m:r>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𝑃</m:t>
                            </m:r>
                          </m:e>
                          <m:sub>
                            <m:r>
                              <a:rPr lang="en-US" altLang="zh-TW" sz="1100" b="0" i="1">
                                <a:solidFill>
                                  <a:schemeClr val="tx1"/>
                                </a:solidFill>
                                <a:effectLst/>
                                <a:latin typeface="Cambria Math" panose="02040503050406030204" pitchFamily="18" charset="0"/>
                                <a:ea typeface="+mn-ea"/>
                                <a:cs typeface="+mn-cs"/>
                              </a:rPr>
                              <m:t>h</m:t>
                            </m:r>
                          </m:sub>
                        </m:sSub>
                      </m:num>
                      <m:den>
                        <m:r>
                          <a:rPr lang="en-US" altLang="zh-TW" sz="1100" b="0" i="1">
                            <a:solidFill>
                              <a:schemeClr val="tx1"/>
                            </a:solidFill>
                            <a:effectLst/>
                            <a:latin typeface="Cambria Math" panose="02040503050406030204" pitchFamily="18" charset="0"/>
                            <a:ea typeface="+mn-ea"/>
                            <a:cs typeface="+mn-cs"/>
                          </a:rPr>
                          <m:t>2</m:t>
                        </m:r>
                        <m:r>
                          <a:rPr lang="zh-TW" altLang="en-US" sz="1100" b="0" i="1">
                            <a:solidFill>
                              <a:schemeClr val="tx1"/>
                            </a:solidFill>
                            <a:effectLst/>
                            <a:latin typeface="Cambria Math" panose="02040503050406030204" pitchFamily="18" charset="0"/>
                            <a:ea typeface="+mn-ea"/>
                            <a:cs typeface="+mn-cs"/>
                          </a:rPr>
                          <m:t>𝜋</m:t>
                        </m:r>
                        <m:r>
                          <a:rPr lang="zh-TW" altLang="en-US" sz="1100" b="0" i="1">
                            <a:solidFill>
                              <a:schemeClr val="tx1"/>
                            </a:solidFill>
                            <a:effectLst/>
                            <a:latin typeface="Cambria Math" panose="02040503050406030204" pitchFamily="18" charset="0"/>
                            <a:ea typeface="+mn-ea"/>
                            <a:cs typeface="+mn-cs"/>
                          </a:rPr>
                          <m:t>∗</m:t>
                        </m:r>
                        <m:r>
                          <a:rPr lang="el-GR" altLang="zh-TW" sz="1100" b="0" i="1">
                            <a:solidFill>
                              <a:schemeClr val="tx1"/>
                            </a:solidFill>
                            <a:effectLst/>
                            <a:latin typeface="Cambria Math" panose="02040503050406030204" pitchFamily="18" charset="0"/>
                            <a:ea typeface="+mn-ea"/>
                            <a:cs typeface="+mn-cs"/>
                          </a:rPr>
                          <m:t>𝜂</m:t>
                        </m:r>
                        <m:r>
                          <a:rPr lang="zh-TW" altLang="en-US" sz="1100" b="0" i="1">
                            <a:solidFill>
                              <a:schemeClr val="tx1"/>
                            </a:solidFill>
                            <a:effectLst/>
                            <a:latin typeface="Cambria Math" panose="02040503050406030204" pitchFamily="18" charset="0"/>
                            <a:ea typeface="+mn-ea"/>
                            <a:cs typeface="+mn-cs"/>
                          </a:rPr>
                          <m:t>∗</m:t>
                        </m:r>
                        <m:sSub>
                          <m:sSubPr>
                            <m:ctrlPr>
                              <a:rPr lang="zh-TW" altLang="en-US" sz="110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𝑖</m:t>
                            </m:r>
                            <m:r>
                              <a:rPr lang="en-US" altLang="zh-TW" sz="1100" i="1">
                                <a:solidFill>
                                  <a:schemeClr val="tx1"/>
                                </a:solidFill>
                                <a:effectLst/>
                                <a:latin typeface="Cambria Math" panose="02040503050406030204" pitchFamily="18" charset="0"/>
                                <a:ea typeface="+mn-ea"/>
                                <a:cs typeface="+mn-cs"/>
                              </a:rPr>
                              <m:t>∗</m:t>
                            </m:r>
                            <m:r>
                              <a:rPr lang="el-GR" altLang="zh-TW" sz="1100" i="1">
                                <a:solidFill>
                                  <a:schemeClr val="tx1"/>
                                </a:solidFill>
                                <a:effectLst/>
                                <a:latin typeface="Cambria Math" panose="02040503050406030204" pitchFamily="18" charset="0"/>
                                <a:ea typeface="+mn-ea"/>
                                <a:cs typeface="+mn-cs"/>
                              </a:rPr>
                              <m:t>𝜂</m:t>
                            </m:r>
                          </m:e>
                          <m:sub>
                            <m:r>
                              <a:rPr lang="en-US" altLang="zh-TW" sz="1100" b="0" i="1">
                                <a:solidFill>
                                  <a:schemeClr val="tx1"/>
                                </a:solidFill>
                                <a:effectLst/>
                                <a:latin typeface="Cambria Math" panose="02040503050406030204" pitchFamily="18" charset="0"/>
                                <a:ea typeface="+mn-ea"/>
                                <a:cs typeface="+mn-cs"/>
                              </a:rPr>
                              <m:t>𝑝𝑢𝑙𝑙𝑒𝑦</m:t>
                            </m:r>
                          </m:sub>
                        </m:sSub>
                      </m:den>
                    </m:f>
                  </m:oMath>
                </m:oMathPara>
              </a14:m>
              <a:endParaRPr lang="zh-TW" altLang="en-US" sz="1100"/>
            </a:p>
          </xdr:txBody>
        </xdr:sp>
      </mc:Choice>
      <mc:Fallback xmlns="">
        <xdr:sp macro="" textlink="">
          <xdr:nvSpPr>
            <xdr:cNvPr id="7" name="文字方塊 6">
              <a:extLst>
                <a:ext uri="{FF2B5EF4-FFF2-40B4-BE49-F238E27FC236}">
                  <a16:creationId xmlns:a16="http://schemas.microsoft.com/office/drawing/2014/main" id="{0D21FCCA-B366-4A12-B3F1-12C4FE41A531}"/>
                </a:ext>
              </a:extLst>
            </xdr:cNvPr>
            <xdr:cNvSpPr txBox="1"/>
          </xdr:nvSpPr>
          <xdr:spPr>
            <a:xfrm>
              <a:off x="2903220" y="1749292"/>
              <a:ext cx="1636295" cy="364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altLang="zh-TW" sz="1100" b="0" i="0">
                  <a:solidFill>
                    <a:schemeClr val="tx1"/>
                  </a:solidFill>
                  <a:effectLst/>
                  <a:latin typeface="Cambria Math" panose="02040503050406030204" pitchFamily="18" charset="0"/>
                  <a:ea typeface="+mn-ea"/>
                  <a:cs typeface="+mn-cs"/>
                </a:rPr>
                <a:t>𝑇_𝑑𝑟𝑖𝑣𝑒</a:t>
              </a:r>
              <a:r>
                <a:rPr lang="en-US" altLang="zh-TW" sz="1100" b="0" i="0">
                  <a:latin typeface="Cambria Math" panose="02040503050406030204" pitchFamily="18" charset="0"/>
                </a:rPr>
                <a:t>=(</a:t>
              </a:r>
              <a:r>
                <a:rPr lang="en-US" altLang="zh-TW" sz="1100" b="0" i="0">
                  <a:solidFill>
                    <a:schemeClr val="tx1"/>
                  </a:solidFill>
                  <a:effectLst/>
                  <a:latin typeface="Cambria Math" panose="02040503050406030204" pitchFamily="18" charset="0"/>
                  <a:ea typeface="+mn-ea"/>
                  <a:cs typeface="+mn-cs"/>
                </a:rPr>
                <a:t>𝐹_𝑎𝑥𝑖𝑎𝑙∗𝑃_ℎ)/(2</a:t>
              </a:r>
              <a:r>
                <a:rPr lang="zh-TW" altLang="en-US" sz="1100" b="0" i="0">
                  <a:solidFill>
                    <a:schemeClr val="tx1"/>
                  </a:solidFill>
                  <a:effectLst/>
                  <a:latin typeface="Cambria Math" panose="02040503050406030204" pitchFamily="18" charset="0"/>
                  <a:ea typeface="+mn-ea"/>
                  <a:cs typeface="+mn-cs"/>
                </a:rPr>
                <a:t>𝜋∗</a:t>
              </a:r>
              <a:r>
                <a:rPr lang="el-GR" altLang="zh-TW" sz="1100" b="0" i="0">
                  <a:solidFill>
                    <a:schemeClr val="tx1"/>
                  </a:solidFill>
                  <a:effectLst/>
                  <a:latin typeface="Cambria Math" panose="02040503050406030204" pitchFamily="18" charset="0"/>
                  <a:ea typeface="+mn-ea"/>
                  <a:cs typeface="+mn-cs"/>
                </a:rPr>
                <a:t>𝜂</a:t>
              </a:r>
              <a:r>
                <a:rPr lang="zh-TW" altLang="en-US" sz="1100" b="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𝑖</a:t>
              </a:r>
              <a:r>
                <a:rPr lang="en-US" altLang="zh-TW" sz="1100" i="0">
                  <a:solidFill>
                    <a:schemeClr val="tx1"/>
                  </a:solidFill>
                  <a:effectLst/>
                  <a:latin typeface="Cambria Math" panose="02040503050406030204" pitchFamily="18" charset="0"/>
                  <a:ea typeface="+mn-ea"/>
                  <a:cs typeface="+mn-cs"/>
                </a:rPr>
                <a:t>∗</a:t>
              </a:r>
              <a:r>
                <a:rPr lang="el-GR" altLang="zh-TW" sz="1100" i="0">
                  <a:solidFill>
                    <a:schemeClr val="tx1"/>
                  </a:solidFill>
                  <a:effectLst/>
                  <a:latin typeface="Cambria Math" panose="02040503050406030204" pitchFamily="18" charset="0"/>
                  <a:ea typeface="+mn-ea"/>
                  <a:cs typeface="+mn-cs"/>
                </a:rPr>
                <a:t>𝜂</a:t>
              </a:r>
              <a:r>
                <a:rPr lang="zh-TW" altLang="en-US" sz="1100" i="0">
                  <a:solidFill>
                    <a:schemeClr val="tx1"/>
                  </a:solidFill>
                  <a:effectLst/>
                  <a:latin typeface="Cambria Math" panose="02040503050406030204" pitchFamily="18" charset="0"/>
                  <a:ea typeface="+mn-ea"/>
                  <a:cs typeface="+mn-cs"/>
                </a:rPr>
                <a:t>〗_</a:t>
              </a:r>
              <a:r>
                <a:rPr lang="en-US" altLang="zh-TW" sz="1100" b="0" i="0">
                  <a:solidFill>
                    <a:schemeClr val="tx1"/>
                  </a:solidFill>
                  <a:effectLst/>
                  <a:latin typeface="Cambria Math" panose="02040503050406030204" pitchFamily="18" charset="0"/>
                  <a:ea typeface="+mn-ea"/>
                  <a:cs typeface="+mn-cs"/>
                </a:rPr>
                <a:t>𝑝𝑢𝑙𝑙𝑒𝑦 )</a:t>
              </a:r>
              <a:endParaRPr lang="zh-TW" altLang="en-US" sz="1100"/>
            </a:p>
          </xdr:txBody>
        </xdr:sp>
      </mc:Fallback>
    </mc:AlternateContent>
    <xdr:clientData/>
  </xdr:oneCellAnchor>
  <xdr:oneCellAnchor>
    <xdr:from>
      <xdr:col>2</xdr:col>
      <xdr:colOff>544932</xdr:colOff>
      <xdr:row>5</xdr:row>
      <xdr:rowOff>58654</xdr:rowOff>
    </xdr:from>
    <xdr:ext cx="1259305" cy="345544"/>
    <mc:AlternateContent xmlns:mc="http://schemas.openxmlformats.org/markup-compatibility/2006" xmlns:a14="http://schemas.microsoft.com/office/drawing/2010/main">
      <mc:Choice Requires="a14">
        <xdr:sp macro="" textlink="">
          <xdr:nvSpPr>
            <xdr:cNvPr id="8" name="文字方塊 7">
              <a:extLst>
                <a:ext uri="{FF2B5EF4-FFF2-40B4-BE49-F238E27FC236}">
                  <a16:creationId xmlns:a16="http://schemas.microsoft.com/office/drawing/2014/main" id="{00000000-0008-0000-0600-000008000000}"/>
                </a:ext>
              </a:extLst>
            </xdr:cNvPr>
            <xdr:cNvSpPr txBox="1"/>
          </xdr:nvSpPr>
          <xdr:spPr>
            <a:xfrm>
              <a:off x="2845971" y="1261812"/>
              <a:ext cx="1259305"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𝑇</m:t>
                        </m:r>
                      </m:e>
                      <m:sub>
                        <m:r>
                          <a:rPr lang="en-US" altLang="zh-TW" sz="1100" b="0" i="1">
                            <a:solidFill>
                              <a:schemeClr val="tx1"/>
                            </a:solidFill>
                            <a:effectLst/>
                            <a:latin typeface="Cambria Math" panose="02040503050406030204" pitchFamily="18" charset="0"/>
                            <a:ea typeface="+mn-ea"/>
                            <a:cs typeface="+mn-cs"/>
                          </a:rPr>
                          <m:t>𝑎𝑥𝑖𝑎𝑙</m:t>
                        </m:r>
                      </m:sub>
                    </m:sSub>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𝐹</m:t>
                            </m:r>
                          </m:e>
                          <m:sub>
                            <m:r>
                              <a:rPr lang="en-US" altLang="zh-TW" sz="1100" b="0" i="1">
                                <a:solidFill>
                                  <a:schemeClr val="tx1"/>
                                </a:solidFill>
                                <a:effectLst/>
                                <a:latin typeface="Cambria Math" panose="02040503050406030204" pitchFamily="18" charset="0"/>
                                <a:ea typeface="+mn-ea"/>
                                <a:cs typeface="+mn-cs"/>
                              </a:rPr>
                              <m:t>𝑎𝑥𝑖𝑎𝑙</m:t>
                            </m:r>
                          </m:sub>
                        </m:sSub>
                        <m:r>
                          <a:rPr lang="zh-TW" altLang="en-US" sz="1100" b="0" i="1">
                            <a:solidFill>
                              <a:schemeClr val="tx1"/>
                            </a:solidFill>
                            <a:effectLst/>
                            <a:latin typeface="Cambria Math" panose="02040503050406030204" pitchFamily="18" charset="0"/>
                            <a:ea typeface="+mn-ea"/>
                            <a:cs typeface="+mn-cs"/>
                          </a:rPr>
                          <m:t>∗</m:t>
                        </m:r>
                        <m:sSub>
                          <m:sSubPr>
                            <m:ctrlPr>
                              <a:rPr lang="en-US" altLang="zh-TW" sz="1100" b="0" i="1">
                                <a:solidFill>
                                  <a:schemeClr val="tx1"/>
                                </a:solidFill>
                                <a:effectLst/>
                                <a:latin typeface="Cambria Math" panose="02040503050406030204" pitchFamily="18" charset="0"/>
                                <a:ea typeface="+mn-ea"/>
                                <a:cs typeface="+mn-cs"/>
                              </a:rPr>
                            </m:ctrlPr>
                          </m:sSubPr>
                          <m:e>
                            <m:r>
                              <a:rPr lang="en-US" altLang="zh-TW" sz="1100" b="0" i="1">
                                <a:solidFill>
                                  <a:schemeClr val="tx1"/>
                                </a:solidFill>
                                <a:effectLst/>
                                <a:latin typeface="Cambria Math" panose="02040503050406030204" pitchFamily="18" charset="0"/>
                                <a:ea typeface="+mn-ea"/>
                                <a:cs typeface="+mn-cs"/>
                              </a:rPr>
                              <m:t>𝑃</m:t>
                            </m:r>
                          </m:e>
                          <m:sub>
                            <m:r>
                              <a:rPr lang="en-US" altLang="zh-TW" sz="1100" b="0" i="1">
                                <a:solidFill>
                                  <a:schemeClr val="tx1"/>
                                </a:solidFill>
                                <a:effectLst/>
                                <a:latin typeface="Cambria Math" panose="02040503050406030204" pitchFamily="18" charset="0"/>
                                <a:ea typeface="+mn-ea"/>
                                <a:cs typeface="+mn-cs"/>
                              </a:rPr>
                              <m:t>h</m:t>
                            </m:r>
                          </m:sub>
                        </m:sSub>
                      </m:num>
                      <m:den>
                        <m:r>
                          <a:rPr lang="en-US" altLang="zh-TW" sz="1100" b="0" i="1">
                            <a:solidFill>
                              <a:schemeClr val="tx1"/>
                            </a:solidFill>
                            <a:effectLst/>
                            <a:latin typeface="Cambria Math" panose="02040503050406030204" pitchFamily="18" charset="0"/>
                            <a:ea typeface="+mn-ea"/>
                            <a:cs typeface="+mn-cs"/>
                          </a:rPr>
                          <m:t>2</m:t>
                        </m:r>
                        <m:r>
                          <a:rPr lang="zh-TW" altLang="en-US" sz="1100" b="0" i="1">
                            <a:solidFill>
                              <a:schemeClr val="tx1"/>
                            </a:solidFill>
                            <a:effectLst/>
                            <a:latin typeface="Cambria Math" panose="02040503050406030204" pitchFamily="18" charset="0"/>
                            <a:ea typeface="+mn-ea"/>
                            <a:cs typeface="+mn-cs"/>
                          </a:rPr>
                          <m:t>𝜋</m:t>
                        </m:r>
                        <m:r>
                          <a:rPr lang="zh-TW" altLang="en-US" sz="1100" b="0" i="1">
                            <a:solidFill>
                              <a:schemeClr val="tx1"/>
                            </a:solidFill>
                            <a:effectLst/>
                            <a:latin typeface="Cambria Math" panose="02040503050406030204" pitchFamily="18" charset="0"/>
                            <a:ea typeface="+mn-ea"/>
                            <a:cs typeface="+mn-cs"/>
                          </a:rPr>
                          <m:t>∗</m:t>
                        </m:r>
                        <m:r>
                          <a:rPr lang="el-GR" altLang="zh-TW" sz="1100" b="0" i="1">
                            <a:solidFill>
                              <a:schemeClr val="tx1"/>
                            </a:solidFill>
                            <a:effectLst/>
                            <a:latin typeface="Cambria Math" panose="02040503050406030204" pitchFamily="18" charset="0"/>
                            <a:ea typeface="+mn-ea"/>
                            <a:cs typeface="+mn-cs"/>
                          </a:rPr>
                          <m:t>𝜂</m:t>
                        </m:r>
                      </m:den>
                    </m:f>
                  </m:oMath>
                </m:oMathPara>
              </a14:m>
              <a:endParaRPr lang="zh-TW" altLang="en-US" sz="1100"/>
            </a:p>
          </xdr:txBody>
        </xdr:sp>
      </mc:Choice>
      <mc:Fallback xmlns="">
        <xdr:sp macro="" textlink="">
          <xdr:nvSpPr>
            <xdr:cNvPr id="8" name="文字方塊 7">
              <a:extLst>
                <a:ext uri="{FF2B5EF4-FFF2-40B4-BE49-F238E27FC236}">
                  <a16:creationId xmlns:a16="http://schemas.microsoft.com/office/drawing/2014/main" id="{6C4F3654-A29D-45F8-801E-6C46B75F5653}"/>
                </a:ext>
              </a:extLst>
            </xdr:cNvPr>
            <xdr:cNvSpPr txBox="1"/>
          </xdr:nvSpPr>
          <xdr:spPr>
            <a:xfrm>
              <a:off x="2845971" y="1261812"/>
              <a:ext cx="1259305"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altLang="zh-TW" sz="1100" b="0" i="0">
                  <a:solidFill>
                    <a:schemeClr val="tx1"/>
                  </a:solidFill>
                  <a:effectLst/>
                  <a:latin typeface="Cambria Math" panose="02040503050406030204" pitchFamily="18" charset="0"/>
                  <a:ea typeface="+mn-ea"/>
                  <a:cs typeface="+mn-cs"/>
                </a:rPr>
                <a:t>𝑇_𝑎𝑥𝑖𝑎𝑙</a:t>
              </a:r>
              <a:r>
                <a:rPr lang="en-US" altLang="zh-TW" sz="1100" b="0" i="0">
                  <a:latin typeface="Cambria Math" panose="02040503050406030204" pitchFamily="18" charset="0"/>
                </a:rPr>
                <a:t>=(</a:t>
              </a:r>
              <a:r>
                <a:rPr lang="en-US" altLang="zh-TW" sz="1100" b="0" i="0">
                  <a:solidFill>
                    <a:schemeClr val="tx1"/>
                  </a:solidFill>
                  <a:effectLst/>
                  <a:latin typeface="Cambria Math" panose="02040503050406030204" pitchFamily="18" charset="0"/>
                  <a:ea typeface="+mn-ea"/>
                  <a:cs typeface="+mn-cs"/>
                </a:rPr>
                <a:t>𝐹_𝑎𝑥𝑖𝑎𝑙</a:t>
              </a:r>
              <a:r>
                <a:rPr lang="zh-TW" altLang="en-US" sz="1100" b="0" i="0">
                  <a:solidFill>
                    <a:schemeClr val="tx1"/>
                  </a:solidFill>
                  <a:effectLst/>
                  <a:latin typeface="Cambria Math" panose="02040503050406030204" pitchFamily="18" charset="0"/>
                  <a:ea typeface="+mn-ea"/>
                  <a:cs typeface="+mn-cs"/>
                </a:rPr>
                <a:t>∗</a:t>
              </a:r>
              <a:r>
                <a:rPr lang="en-US" altLang="zh-TW" sz="1100" b="0" i="0">
                  <a:solidFill>
                    <a:schemeClr val="tx1"/>
                  </a:solidFill>
                  <a:effectLst/>
                  <a:latin typeface="Cambria Math" panose="02040503050406030204" pitchFamily="18" charset="0"/>
                  <a:ea typeface="+mn-ea"/>
                  <a:cs typeface="+mn-cs"/>
                </a:rPr>
                <a:t>𝑃_ℎ)/(2</a:t>
              </a:r>
              <a:r>
                <a:rPr lang="zh-TW" altLang="en-US" sz="1100" b="0" i="0">
                  <a:solidFill>
                    <a:schemeClr val="tx1"/>
                  </a:solidFill>
                  <a:effectLst/>
                  <a:latin typeface="Cambria Math" panose="02040503050406030204" pitchFamily="18" charset="0"/>
                  <a:ea typeface="+mn-ea"/>
                  <a:cs typeface="+mn-cs"/>
                </a:rPr>
                <a:t>𝜋∗</a:t>
              </a:r>
              <a:r>
                <a:rPr lang="el-GR" altLang="zh-TW" sz="1100" b="0" i="0">
                  <a:solidFill>
                    <a:schemeClr val="tx1"/>
                  </a:solidFill>
                  <a:effectLst/>
                  <a:latin typeface="Cambria Math" panose="02040503050406030204" pitchFamily="18" charset="0"/>
                  <a:ea typeface="+mn-ea"/>
                  <a:cs typeface="+mn-cs"/>
                </a:rPr>
                <a:t>𝜂</a:t>
              </a:r>
              <a:r>
                <a:rPr lang="en-US" altLang="zh-TW" sz="1100" b="0" i="0">
                  <a:solidFill>
                    <a:schemeClr val="tx1"/>
                  </a:solidFill>
                  <a:effectLst/>
                  <a:latin typeface="Cambria Math" panose="02040503050406030204" pitchFamily="18" charset="0"/>
                  <a:ea typeface="+mn-ea"/>
                  <a:cs typeface="+mn-cs"/>
                </a:rPr>
                <a:t>)</a:t>
              </a:r>
              <a:endParaRPr lang="zh-TW" altLang="en-US" sz="1100"/>
            </a:p>
          </xdr:txBody>
        </xdr:sp>
      </mc:Fallback>
    </mc:AlternateContent>
    <xdr:clientData/>
  </xdr:oneCellAnchor>
  <xdr:oneCellAnchor>
    <xdr:from>
      <xdr:col>2</xdr:col>
      <xdr:colOff>606592</xdr:colOff>
      <xdr:row>3</xdr:row>
      <xdr:rowOff>60158</xdr:rowOff>
    </xdr:from>
    <xdr:ext cx="2009845" cy="364395"/>
    <mc:AlternateContent xmlns:mc="http://schemas.openxmlformats.org/markup-compatibility/2006" xmlns:a14="http://schemas.microsoft.com/office/drawing/2010/main">
      <mc:Choice Requires="a14">
        <xdr:sp macro="" textlink="">
          <xdr:nvSpPr>
            <xdr:cNvPr id="9" name="文字方塊 8">
              <a:extLst>
                <a:ext uri="{FF2B5EF4-FFF2-40B4-BE49-F238E27FC236}">
                  <a16:creationId xmlns:a16="http://schemas.microsoft.com/office/drawing/2014/main" id="{00000000-0008-0000-0600-000009000000}"/>
                </a:ext>
              </a:extLst>
            </xdr:cNvPr>
            <xdr:cNvSpPr txBox="1"/>
          </xdr:nvSpPr>
          <xdr:spPr>
            <a:xfrm>
              <a:off x="2907631" y="782053"/>
              <a:ext cx="2009845" cy="364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altLang="zh-TW" sz="1100" i="1">
                            <a:latin typeface="Cambria Math" panose="02040503050406030204" pitchFamily="18" charset="0"/>
                          </a:rPr>
                        </m:ctrlPr>
                      </m:sSubPr>
                      <m:e>
                        <m:r>
                          <a:rPr lang="en-US" altLang="zh-TW" sz="1100" b="0" i="1">
                            <a:latin typeface="Cambria Math" panose="02040503050406030204" pitchFamily="18" charset="0"/>
                          </a:rPr>
                          <m:t>𝑇</m:t>
                        </m:r>
                      </m:e>
                      <m:sub>
                        <m:r>
                          <a:rPr lang="en-US" altLang="zh-TW" sz="1100" b="0" i="1">
                            <a:latin typeface="Cambria Math" panose="02040503050406030204" pitchFamily="18" charset="0"/>
                          </a:rPr>
                          <m:t>𝑑𝑟𝑖𝑣𝑒</m:t>
                        </m:r>
                      </m:sub>
                    </m:sSub>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𝑇</m:t>
                            </m:r>
                          </m:e>
                          <m:sub>
                            <m:r>
                              <a:rPr lang="en-US" altLang="zh-TW" sz="1100" b="0" i="1">
                                <a:latin typeface="Cambria Math" panose="02040503050406030204" pitchFamily="18" charset="0"/>
                              </a:rPr>
                              <m:t>𝑎𝑥𝑖𝑎𝑙</m:t>
                            </m:r>
                          </m:sub>
                        </m:sSub>
                      </m:num>
                      <m:den>
                        <m:r>
                          <a:rPr lang="en-US" altLang="zh-TW" sz="1100" b="0" i="1">
                            <a:latin typeface="Cambria Math" panose="02040503050406030204" pitchFamily="18" charset="0"/>
                          </a:rPr>
                          <m:t>𝑖</m:t>
                        </m:r>
                        <m:r>
                          <a:rPr lang="en-US" altLang="zh-TW" sz="1100" b="0" i="1">
                            <a:latin typeface="Cambria Math" panose="02040503050406030204" pitchFamily="18" charset="0"/>
                            <a:ea typeface="Cambria Math" panose="02040503050406030204" pitchFamily="18" charset="0"/>
                          </a:rPr>
                          <m:t>∗</m:t>
                        </m:r>
                        <m:sSub>
                          <m:sSubPr>
                            <m:ctrlPr>
                              <a:rPr lang="en-US" altLang="zh-TW" sz="1100" b="0" i="1">
                                <a:latin typeface="Cambria Math" panose="02040503050406030204" pitchFamily="18" charset="0"/>
                                <a:ea typeface="Cambria Math" panose="02040503050406030204" pitchFamily="18" charset="0"/>
                              </a:rPr>
                            </m:ctrlPr>
                          </m:sSubPr>
                          <m:e>
                            <m:r>
                              <a:rPr lang="zh-TW" altLang="en-US" sz="1100" b="0" i="1">
                                <a:latin typeface="Cambria Math" panose="02040503050406030204" pitchFamily="18" charset="0"/>
                                <a:ea typeface="Cambria Math" panose="02040503050406030204" pitchFamily="18" charset="0"/>
                              </a:rPr>
                              <m:t>𝜂</m:t>
                            </m:r>
                          </m:e>
                          <m:sub>
                            <m:r>
                              <a:rPr lang="en-US" altLang="zh-TW" sz="1100" b="0" i="1">
                                <a:latin typeface="Cambria Math" panose="02040503050406030204" pitchFamily="18" charset="0"/>
                                <a:ea typeface="Cambria Math" panose="02040503050406030204" pitchFamily="18" charset="0"/>
                              </a:rPr>
                              <m:t>𝑝𝑢𝑙𝑙𝑒𝑦</m:t>
                            </m:r>
                          </m:sub>
                        </m:sSub>
                      </m:den>
                    </m:f>
                    <m:r>
                      <a:rPr lang="en-US" altLang="zh-TW" sz="1100" b="0" i="1">
                        <a:latin typeface="Cambria Math" panose="02040503050406030204" pitchFamily="18" charset="0"/>
                      </a:rPr>
                      <m:t>=</m:t>
                    </m:r>
                    <m:f>
                      <m:fPr>
                        <m:ctrlPr>
                          <a:rPr lang="en-US" altLang="zh-TW" sz="1100" b="0" i="1">
                            <a:latin typeface="Cambria Math" panose="02040503050406030204" pitchFamily="18" charset="0"/>
                          </a:rPr>
                        </m:ctrlPr>
                      </m:fPr>
                      <m:num>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𝑇</m:t>
                            </m:r>
                          </m:e>
                          <m:sub>
                            <m:r>
                              <a:rPr lang="en-US" altLang="zh-TW" sz="1100" b="0" i="1">
                                <a:latin typeface="Cambria Math" panose="02040503050406030204" pitchFamily="18" charset="0"/>
                              </a:rPr>
                              <m:t>𝑎𝑥𝑖𝑎𝑙</m:t>
                            </m:r>
                          </m:sub>
                        </m:sSub>
                        <m:r>
                          <a:rPr lang="en-US" altLang="zh-TW" sz="1100" b="0" i="1">
                            <a:latin typeface="Cambria Math" panose="02040503050406030204" pitchFamily="18" charset="0"/>
                            <a:ea typeface="Cambria Math" panose="02040503050406030204" pitchFamily="18" charset="0"/>
                          </a:rPr>
                          <m:t>∗</m:t>
                        </m:r>
                        <m:sSub>
                          <m:sSubPr>
                            <m:ctrlPr>
                              <a:rPr lang="en-US" altLang="zh-TW" sz="1100" b="0" i="1">
                                <a:latin typeface="Cambria Math" panose="02040503050406030204" pitchFamily="18" charset="0"/>
                                <a:ea typeface="Cambria Math" panose="02040503050406030204" pitchFamily="18" charset="0"/>
                              </a:rPr>
                            </m:ctrlPr>
                          </m:sSubPr>
                          <m:e>
                            <m:r>
                              <a:rPr lang="en-US" altLang="zh-TW" sz="1100" b="0" i="1">
                                <a:latin typeface="Cambria Math" panose="02040503050406030204" pitchFamily="18" charset="0"/>
                                <a:ea typeface="Cambria Math" panose="02040503050406030204" pitchFamily="18" charset="0"/>
                              </a:rPr>
                              <m:t>𝑁</m:t>
                            </m:r>
                          </m:e>
                          <m:sub>
                            <m:r>
                              <a:rPr lang="en-US" altLang="zh-TW" sz="1100" b="0" i="1">
                                <a:latin typeface="Cambria Math" panose="02040503050406030204" pitchFamily="18" charset="0"/>
                                <a:ea typeface="Cambria Math" panose="02040503050406030204" pitchFamily="18" charset="0"/>
                              </a:rPr>
                              <m:t>2</m:t>
                            </m:r>
                          </m:sub>
                        </m:sSub>
                      </m:num>
                      <m:den>
                        <m:sSub>
                          <m:sSubPr>
                            <m:ctrlPr>
                              <a:rPr lang="en-US" altLang="zh-TW" sz="1100" b="0" i="1">
                                <a:latin typeface="Cambria Math" panose="02040503050406030204" pitchFamily="18" charset="0"/>
                              </a:rPr>
                            </m:ctrlPr>
                          </m:sSubPr>
                          <m:e>
                            <m:r>
                              <a:rPr lang="en-US" altLang="zh-TW" sz="1100" b="0" i="1">
                                <a:latin typeface="Cambria Math" panose="02040503050406030204" pitchFamily="18" charset="0"/>
                              </a:rPr>
                              <m:t>𝑁</m:t>
                            </m:r>
                          </m:e>
                          <m:sub>
                            <m:r>
                              <a:rPr lang="en-US" altLang="zh-TW" sz="1100" b="0" i="1">
                                <a:latin typeface="Cambria Math" panose="02040503050406030204" pitchFamily="18" charset="0"/>
                              </a:rPr>
                              <m:t>1</m:t>
                            </m:r>
                          </m:sub>
                        </m:sSub>
                        <m:r>
                          <a:rPr lang="en-US" altLang="zh-TW" sz="1100" b="0" i="1">
                            <a:latin typeface="Cambria Math" panose="02040503050406030204" pitchFamily="18" charset="0"/>
                            <a:ea typeface="Cambria Math" panose="02040503050406030204" pitchFamily="18" charset="0"/>
                          </a:rPr>
                          <m:t>∗</m:t>
                        </m:r>
                        <m:sSub>
                          <m:sSubPr>
                            <m:ctrlPr>
                              <a:rPr lang="en-US" altLang="zh-TW" sz="1100" b="0" i="1">
                                <a:latin typeface="Cambria Math" panose="02040503050406030204" pitchFamily="18" charset="0"/>
                                <a:ea typeface="Cambria Math" panose="02040503050406030204" pitchFamily="18" charset="0"/>
                              </a:rPr>
                            </m:ctrlPr>
                          </m:sSubPr>
                          <m:e>
                            <m:r>
                              <a:rPr lang="zh-TW" altLang="en-US" sz="1100" b="0" i="1">
                                <a:latin typeface="Cambria Math" panose="02040503050406030204" pitchFamily="18" charset="0"/>
                                <a:ea typeface="Cambria Math" panose="02040503050406030204" pitchFamily="18" charset="0"/>
                              </a:rPr>
                              <m:t>𝜂</m:t>
                            </m:r>
                          </m:e>
                          <m:sub>
                            <m:r>
                              <a:rPr lang="en-US" altLang="zh-TW" sz="1100" b="0" i="1">
                                <a:latin typeface="Cambria Math" panose="02040503050406030204" pitchFamily="18" charset="0"/>
                                <a:ea typeface="Cambria Math" panose="02040503050406030204" pitchFamily="18" charset="0"/>
                              </a:rPr>
                              <m:t>𝑝𝑢𝑙𝑙𝑒𝑦</m:t>
                            </m:r>
                          </m:sub>
                        </m:sSub>
                      </m:den>
                    </m:f>
                  </m:oMath>
                </m:oMathPara>
              </a14:m>
              <a:endParaRPr lang="zh-TW" altLang="en-US" sz="1100"/>
            </a:p>
          </xdr:txBody>
        </xdr:sp>
      </mc:Choice>
      <mc:Fallback xmlns="">
        <xdr:sp macro="" textlink="">
          <xdr:nvSpPr>
            <xdr:cNvPr id="9" name="文字方塊 8">
              <a:extLst>
                <a:ext uri="{FF2B5EF4-FFF2-40B4-BE49-F238E27FC236}">
                  <a16:creationId xmlns:a16="http://schemas.microsoft.com/office/drawing/2014/main" id="{CFB2946C-55F0-42D6-BA6A-8409B3218B88}"/>
                </a:ext>
              </a:extLst>
            </xdr:cNvPr>
            <xdr:cNvSpPr txBox="1"/>
          </xdr:nvSpPr>
          <xdr:spPr>
            <a:xfrm>
              <a:off x="2907631" y="782053"/>
              <a:ext cx="2009845" cy="364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altLang="zh-TW" sz="1100" b="0" i="0">
                  <a:latin typeface="Cambria Math" panose="02040503050406030204" pitchFamily="18" charset="0"/>
                </a:rPr>
                <a:t>𝑇_𝑑𝑟𝑖𝑣𝑒=𝑇_𝑎𝑥𝑖𝑎𝑙/(𝑖</a:t>
              </a:r>
              <a:r>
                <a:rPr lang="en-US" altLang="zh-TW" sz="1100" b="0" i="0">
                  <a:latin typeface="Cambria Math" panose="02040503050406030204" pitchFamily="18" charset="0"/>
                  <a:ea typeface="Cambria Math" panose="02040503050406030204" pitchFamily="18" charset="0"/>
                </a:rPr>
                <a:t>∗</a:t>
              </a:r>
              <a:r>
                <a:rPr lang="zh-TW" altLang="en-US" sz="1100" b="0" i="0">
                  <a:latin typeface="Cambria Math" panose="02040503050406030204" pitchFamily="18" charset="0"/>
                  <a:ea typeface="Cambria Math" panose="02040503050406030204" pitchFamily="18" charset="0"/>
                </a:rPr>
                <a:t>𝜂</a:t>
              </a:r>
              <a:r>
                <a:rPr lang="en-US" altLang="zh-TW" sz="1100" b="0" i="0">
                  <a:latin typeface="Cambria Math" panose="02040503050406030204" pitchFamily="18" charset="0"/>
                  <a:ea typeface="Cambria Math" panose="02040503050406030204" pitchFamily="18" charset="0"/>
                </a:rPr>
                <a:t>_𝑝𝑢𝑙𝑙𝑒𝑦 )</a:t>
              </a:r>
              <a:r>
                <a:rPr lang="en-US" altLang="zh-TW" sz="1100" b="0" i="0">
                  <a:latin typeface="Cambria Math" panose="02040503050406030204" pitchFamily="18" charset="0"/>
                </a:rPr>
                <a:t>=(𝑇_𝑎𝑥𝑖𝑎𝑙</a:t>
              </a:r>
              <a:r>
                <a:rPr lang="en-US" altLang="zh-TW" sz="1100" b="0" i="0">
                  <a:latin typeface="Cambria Math" panose="02040503050406030204" pitchFamily="18" charset="0"/>
                  <a:ea typeface="Cambria Math" panose="02040503050406030204" pitchFamily="18" charset="0"/>
                </a:rPr>
                <a:t>∗𝑁_2)/(</a:t>
              </a:r>
              <a:r>
                <a:rPr lang="en-US" altLang="zh-TW" sz="1100" b="0" i="0">
                  <a:latin typeface="Cambria Math" panose="02040503050406030204" pitchFamily="18" charset="0"/>
                </a:rPr>
                <a:t>𝑁_1</a:t>
              </a:r>
              <a:r>
                <a:rPr lang="en-US" altLang="zh-TW" sz="1100" b="0" i="0">
                  <a:latin typeface="Cambria Math" panose="02040503050406030204" pitchFamily="18" charset="0"/>
                  <a:ea typeface="Cambria Math" panose="02040503050406030204" pitchFamily="18" charset="0"/>
                </a:rPr>
                <a:t>∗</a:t>
              </a:r>
              <a:r>
                <a:rPr lang="zh-TW" altLang="en-US" sz="1100" b="0" i="0">
                  <a:latin typeface="Cambria Math" panose="02040503050406030204" pitchFamily="18" charset="0"/>
                  <a:ea typeface="Cambria Math" panose="02040503050406030204" pitchFamily="18" charset="0"/>
                </a:rPr>
                <a:t>𝜂</a:t>
              </a:r>
              <a:r>
                <a:rPr lang="en-US" altLang="zh-TW" sz="1100" b="0" i="0">
                  <a:latin typeface="Cambria Math" panose="02040503050406030204" pitchFamily="18" charset="0"/>
                  <a:ea typeface="Cambria Math" panose="02040503050406030204" pitchFamily="18" charset="0"/>
                </a:rPr>
                <a:t>_𝑝𝑢𝑙𝑙𝑒𝑦 )</a:t>
              </a:r>
              <a:endParaRPr lang="zh-TW" altLang="en-US" sz="1100"/>
            </a:p>
          </xdr:txBody>
        </xdr:sp>
      </mc:Fallback>
    </mc:AlternateContent>
    <xdr:clientData/>
  </xdr:one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5.wmf"/><Relationship Id="rId18" Type="http://schemas.openxmlformats.org/officeDocument/2006/relationships/oleObject" Target="../embeddings/oleObject8.bin"/><Relationship Id="rId26" Type="http://schemas.openxmlformats.org/officeDocument/2006/relationships/oleObject" Target="../embeddings/oleObject12.bin"/><Relationship Id="rId3" Type="http://schemas.openxmlformats.org/officeDocument/2006/relationships/vmlDrawing" Target="../drawings/vmlDrawing1.vml"/><Relationship Id="rId21" Type="http://schemas.openxmlformats.org/officeDocument/2006/relationships/image" Target="../media/image9.wmf"/><Relationship Id="rId7" Type="http://schemas.openxmlformats.org/officeDocument/2006/relationships/image" Target="../media/image2.wmf"/><Relationship Id="rId12" Type="http://schemas.openxmlformats.org/officeDocument/2006/relationships/oleObject" Target="../embeddings/oleObject5.bin"/><Relationship Id="rId17" Type="http://schemas.openxmlformats.org/officeDocument/2006/relationships/image" Target="../media/image7.wmf"/><Relationship Id="rId25" Type="http://schemas.openxmlformats.org/officeDocument/2006/relationships/image" Target="../media/image11.emf"/><Relationship Id="rId2" Type="http://schemas.openxmlformats.org/officeDocument/2006/relationships/drawing" Target="../drawings/drawing1.xml"/><Relationship Id="rId16" Type="http://schemas.openxmlformats.org/officeDocument/2006/relationships/oleObject" Target="../embeddings/oleObject7.bin"/><Relationship Id="rId20" Type="http://schemas.openxmlformats.org/officeDocument/2006/relationships/oleObject" Target="../embeddings/oleObject9.bin"/><Relationship Id="rId29" Type="http://schemas.openxmlformats.org/officeDocument/2006/relationships/image" Target="../media/image13.wmf"/><Relationship Id="rId1" Type="http://schemas.openxmlformats.org/officeDocument/2006/relationships/printerSettings" Target="../printerSettings/printerSettings1.bin"/><Relationship Id="rId6" Type="http://schemas.openxmlformats.org/officeDocument/2006/relationships/oleObject" Target="../embeddings/oleObject2.bin"/><Relationship Id="rId11" Type="http://schemas.openxmlformats.org/officeDocument/2006/relationships/image" Target="../media/image4.wmf"/><Relationship Id="rId24" Type="http://schemas.openxmlformats.org/officeDocument/2006/relationships/oleObject" Target="../embeddings/oleObject11.bin"/><Relationship Id="rId5" Type="http://schemas.openxmlformats.org/officeDocument/2006/relationships/image" Target="../media/image1.wmf"/><Relationship Id="rId15" Type="http://schemas.openxmlformats.org/officeDocument/2006/relationships/image" Target="../media/image6.wmf"/><Relationship Id="rId23" Type="http://schemas.openxmlformats.org/officeDocument/2006/relationships/image" Target="../media/image10.emf"/><Relationship Id="rId28" Type="http://schemas.openxmlformats.org/officeDocument/2006/relationships/oleObject" Target="../embeddings/oleObject13.bin"/><Relationship Id="rId10" Type="http://schemas.openxmlformats.org/officeDocument/2006/relationships/oleObject" Target="../embeddings/oleObject4.bin"/><Relationship Id="rId19" Type="http://schemas.openxmlformats.org/officeDocument/2006/relationships/image" Target="../media/image8.wmf"/><Relationship Id="rId4" Type="http://schemas.openxmlformats.org/officeDocument/2006/relationships/oleObject" Target="../embeddings/oleObject1.bin"/><Relationship Id="rId9" Type="http://schemas.openxmlformats.org/officeDocument/2006/relationships/image" Target="../media/image3.w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2.emf"/></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oleObject" Target="../embeddings/oleObject16.bin"/><Relationship Id="rId13" Type="http://schemas.openxmlformats.org/officeDocument/2006/relationships/image" Target="../media/image5.wmf"/><Relationship Id="rId18" Type="http://schemas.openxmlformats.org/officeDocument/2006/relationships/oleObject" Target="../embeddings/oleObject21.bin"/><Relationship Id="rId26" Type="http://schemas.openxmlformats.org/officeDocument/2006/relationships/oleObject" Target="../embeddings/oleObject25.bin"/><Relationship Id="rId3" Type="http://schemas.openxmlformats.org/officeDocument/2006/relationships/vmlDrawing" Target="../drawings/vmlDrawing2.vml"/><Relationship Id="rId21" Type="http://schemas.openxmlformats.org/officeDocument/2006/relationships/image" Target="../media/image9.wmf"/><Relationship Id="rId7" Type="http://schemas.openxmlformats.org/officeDocument/2006/relationships/image" Target="../media/image2.wmf"/><Relationship Id="rId12" Type="http://schemas.openxmlformats.org/officeDocument/2006/relationships/oleObject" Target="../embeddings/oleObject18.bin"/><Relationship Id="rId17" Type="http://schemas.openxmlformats.org/officeDocument/2006/relationships/image" Target="../media/image7.wmf"/><Relationship Id="rId25" Type="http://schemas.openxmlformats.org/officeDocument/2006/relationships/image" Target="../media/image11.emf"/><Relationship Id="rId2" Type="http://schemas.openxmlformats.org/officeDocument/2006/relationships/drawing" Target="../drawings/drawing4.xml"/><Relationship Id="rId16" Type="http://schemas.openxmlformats.org/officeDocument/2006/relationships/oleObject" Target="../embeddings/oleObject20.bin"/><Relationship Id="rId20" Type="http://schemas.openxmlformats.org/officeDocument/2006/relationships/oleObject" Target="../embeddings/oleObject22.bin"/><Relationship Id="rId29" Type="http://schemas.openxmlformats.org/officeDocument/2006/relationships/image" Target="../media/image13.wmf"/><Relationship Id="rId1" Type="http://schemas.openxmlformats.org/officeDocument/2006/relationships/printerSettings" Target="../printerSettings/printerSettings4.bin"/><Relationship Id="rId6" Type="http://schemas.openxmlformats.org/officeDocument/2006/relationships/oleObject" Target="../embeddings/oleObject15.bin"/><Relationship Id="rId11" Type="http://schemas.openxmlformats.org/officeDocument/2006/relationships/image" Target="../media/image4.wmf"/><Relationship Id="rId24" Type="http://schemas.openxmlformats.org/officeDocument/2006/relationships/oleObject" Target="../embeddings/oleObject24.bin"/><Relationship Id="rId5" Type="http://schemas.openxmlformats.org/officeDocument/2006/relationships/image" Target="../media/image1.wmf"/><Relationship Id="rId15" Type="http://schemas.openxmlformats.org/officeDocument/2006/relationships/image" Target="../media/image6.wmf"/><Relationship Id="rId23" Type="http://schemas.openxmlformats.org/officeDocument/2006/relationships/image" Target="../media/image10.emf"/><Relationship Id="rId28" Type="http://schemas.openxmlformats.org/officeDocument/2006/relationships/oleObject" Target="../embeddings/oleObject26.bin"/><Relationship Id="rId10" Type="http://schemas.openxmlformats.org/officeDocument/2006/relationships/oleObject" Target="../embeddings/oleObject17.bin"/><Relationship Id="rId19" Type="http://schemas.openxmlformats.org/officeDocument/2006/relationships/image" Target="../media/image8.wmf"/><Relationship Id="rId4" Type="http://schemas.openxmlformats.org/officeDocument/2006/relationships/oleObject" Target="../embeddings/oleObject14.bin"/><Relationship Id="rId9" Type="http://schemas.openxmlformats.org/officeDocument/2006/relationships/image" Target="../media/image3.wmf"/><Relationship Id="rId14" Type="http://schemas.openxmlformats.org/officeDocument/2006/relationships/oleObject" Target="../embeddings/oleObject19.bin"/><Relationship Id="rId22" Type="http://schemas.openxmlformats.org/officeDocument/2006/relationships/oleObject" Target="../embeddings/oleObject23.bin"/><Relationship Id="rId27" Type="http://schemas.openxmlformats.org/officeDocument/2006/relationships/image" Target="../media/image12.emf"/></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B867F-12DA-45A2-AB0D-8D9874690456}">
  <sheetPr>
    <pageSetUpPr fitToPage="1"/>
  </sheetPr>
  <dimension ref="A1:AM195"/>
  <sheetViews>
    <sheetView tabSelected="1" zoomScale="130" zoomScaleNormal="130" workbookViewId="0">
      <pane ySplit="1" topLeftCell="A5" activePane="bottomLeft" state="frozen"/>
      <selection activeCell="B3" sqref="B3"/>
      <selection pane="bottomLeft" activeCell="E12" sqref="E12"/>
    </sheetView>
  </sheetViews>
  <sheetFormatPr defaultColWidth="9" defaultRowHeight="15" x14ac:dyDescent="0.3"/>
  <cols>
    <col min="1" max="1" width="28.88671875" style="9" customWidth="1"/>
    <col min="2" max="2" width="25.5546875" style="9" bestFit="1" customWidth="1"/>
    <col min="3" max="3" width="14.109375" style="9" bestFit="1" customWidth="1"/>
    <col min="4" max="4" width="27.77734375" style="9" bestFit="1" customWidth="1"/>
    <col min="5" max="5" width="13.77734375" style="9" bestFit="1" customWidth="1"/>
    <col min="6" max="7" width="16" style="9" bestFit="1" customWidth="1"/>
    <col min="8" max="8" width="11.6640625" style="9" bestFit="1" customWidth="1"/>
    <col min="9" max="9" width="9.88671875" style="9" bestFit="1" customWidth="1"/>
    <col min="10" max="10" width="9.88671875" style="9" customWidth="1"/>
    <col min="11" max="11" width="27.88671875" style="9" bestFit="1" customWidth="1"/>
    <col min="12" max="12" width="19.44140625" style="9" bestFit="1" customWidth="1"/>
    <col min="13" max="13" width="16.88671875" style="9" bestFit="1" customWidth="1"/>
    <col min="14" max="14" width="16.77734375" style="9" bestFit="1" customWidth="1"/>
    <col min="15" max="15" width="23.21875" style="9" bestFit="1" customWidth="1"/>
    <col min="16" max="16" width="24.77734375" style="9" bestFit="1" customWidth="1"/>
    <col min="17" max="17" width="17.77734375" style="9" bestFit="1" customWidth="1"/>
    <col min="18" max="18" width="12.88671875" style="9" bestFit="1" customWidth="1"/>
    <col min="19" max="19" width="9.6640625" style="9" bestFit="1" customWidth="1"/>
    <col min="20" max="20" width="23.5546875" style="9" bestFit="1" customWidth="1"/>
    <col min="21" max="21" width="18" style="9" bestFit="1" customWidth="1"/>
    <col min="22" max="22" width="15.5546875" style="9" bestFit="1" customWidth="1"/>
    <col min="23" max="24" width="10.5546875" style="9" bestFit="1" customWidth="1"/>
    <col min="25" max="25" width="13" style="9" bestFit="1" customWidth="1"/>
    <col min="26" max="26" width="15.5546875" style="9" bestFit="1" customWidth="1"/>
    <col min="27" max="28" width="10.5546875" style="9" bestFit="1" customWidth="1"/>
    <col min="29" max="29" width="9.88671875" style="9" bestFit="1" customWidth="1"/>
    <col min="30" max="31" width="10.5546875" style="9" bestFit="1" customWidth="1"/>
    <col min="32" max="32" width="12.33203125" style="9" bestFit="1" customWidth="1"/>
    <col min="33" max="34" width="9" style="9"/>
    <col min="35" max="35" width="21" style="9" bestFit="1" customWidth="1"/>
    <col min="36" max="36" width="6" style="9" bestFit="1" customWidth="1"/>
    <col min="37" max="37" width="10.5546875" style="9" bestFit="1" customWidth="1"/>
    <col min="38" max="38" width="15.109375" style="9" bestFit="1" customWidth="1"/>
    <col min="39" max="39" width="13.5546875" style="9" bestFit="1" customWidth="1"/>
    <col min="40" max="41" width="9" style="9"/>
    <col min="42" max="42" width="19.6640625" style="9" bestFit="1" customWidth="1"/>
    <col min="43" max="43" width="5.44140625" style="9" bestFit="1" customWidth="1"/>
    <col min="44" max="44" width="9.44140625" style="9" bestFit="1" customWidth="1"/>
    <col min="45" max="45" width="13.44140625" style="9" bestFit="1" customWidth="1"/>
    <col min="46" max="46" width="12.109375" style="9" bestFit="1" customWidth="1"/>
    <col min="47" max="16384" width="9" style="9"/>
  </cols>
  <sheetData>
    <row r="1" spans="1:39" ht="16.2" x14ac:dyDescent="0.3">
      <c r="A1" s="4" t="s">
        <v>267</v>
      </c>
      <c r="B1" s="15">
        <v>1500</v>
      </c>
      <c r="C1" s="9" t="s">
        <v>18</v>
      </c>
      <c r="K1" s="4" t="s">
        <v>240</v>
      </c>
      <c r="L1" s="4" t="s">
        <v>266</v>
      </c>
      <c r="M1" s="4" t="s">
        <v>265</v>
      </c>
      <c r="N1" s="4" t="s">
        <v>264</v>
      </c>
      <c r="O1" s="4" t="s">
        <v>263</v>
      </c>
      <c r="P1" s="4" t="s">
        <v>262</v>
      </c>
      <c r="Q1" s="4" t="s">
        <v>261</v>
      </c>
      <c r="R1" s="4" t="s">
        <v>260</v>
      </c>
      <c r="T1" s="4" t="s">
        <v>184</v>
      </c>
      <c r="U1" s="4" t="s">
        <v>181</v>
      </c>
      <c r="V1" s="4" t="s">
        <v>178</v>
      </c>
      <c r="W1" s="4" t="s">
        <v>259</v>
      </c>
      <c r="X1" s="4" t="s">
        <v>173</v>
      </c>
      <c r="Y1" s="4" t="s">
        <v>258</v>
      </c>
      <c r="Z1" s="4" t="s">
        <v>169</v>
      </c>
      <c r="AA1" s="4" t="s">
        <v>166</v>
      </c>
      <c r="AB1" s="4" t="s">
        <v>164</v>
      </c>
      <c r="AC1" s="4" t="s">
        <v>161</v>
      </c>
      <c r="AD1" s="4" t="s">
        <v>24</v>
      </c>
      <c r="AE1" s="4" t="s">
        <v>23</v>
      </c>
      <c r="AI1" s="4" t="s">
        <v>257</v>
      </c>
      <c r="AJ1" s="4" t="s">
        <v>256</v>
      </c>
      <c r="AK1" s="4" t="s">
        <v>132</v>
      </c>
      <c r="AL1" s="4" t="s">
        <v>255</v>
      </c>
      <c r="AM1" s="4" t="s">
        <v>254</v>
      </c>
    </row>
    <row r="2" spans="1:39" ht="18.600000000000001" x14ac:dyDescent="0.4">
      <c r="A2" s="66" t="s">
        <v>11</v>
      </c>
      <c r="B2" s="56">
        <v>730</v>
      </c>
      <c r="C2" s="9" t="s">
        <v>40</v>
      </c>
      <c r="D2" s="9">
        <v>6</v>
      </c>
      <c r="E2" s="9" t="s">
        <v>253</v>
      </c>
      <c r="F2" s="14">
        <f>D2*B2</f>
        <v>4380</v>
      </c>
      <c r="G2" s="9" t="str">
        <f>C2</f>
        <v>kgf</v>
      </c>
      <c r="I2" s="9">
        <v>102</v>
      </c>
      <c r="K2" s="78" t="s">
        <v>321</v>
      </c>
      <c r="L2" s="79">
        <v>16</v>
      </c>
      <c r="M2" s="79">
        <v>5</v>
      </c>
      <c r="N2" s="79">
        <v>3</v>
      </c>
      <c r="O2" s="79">
        <v>1020</v>
      </c>
      <c r="P2" s="79">
        <v>1551</v>
      </c>
      <c r="Q2" s="79"/>
      <c r="R2" s="79">
        <v>35</v>
      </c>
      <c r="S2" s="78" t="s">
        <v>286</v>
      </c>
      <c r="T2" s="78" t="s">
        <v>475</v>
      </c>
      <c r="U2" s="83"/>
      <c r="V2" s="79">
        <v>0.4</v>
      </c>
      <c r="W2" s="84">
        <v>1000</v>
      </c>
      <c r="X2" s="79">
        <v>3.82</v>
      </c>
      <c r="Y2" s="79">
        <v>2</v>
      </c>
      <c r="Z2" s="84">
        <v>1500</v>
      </c>
      <c r="AA2" s="79">
        <v>11.5</v>
      </c>
      <c r="AB2" s="83">
        <v>6</v>
      </c>
      <c r="AC2" s="79">
        <v>5.8</v>
      </c>
      <c r="AD2" s="84">
        <v>19</v>
      </c>
      <c r="AE2" s="79">
        <f>58-5.3</f>
        <v>52.7</v>
      </c>
      <c r="AF2" s="78" t="s">
        <v>476</v>
      </c>
      <c r="AI2" s="9" t="s">
        <v>251</v>
      </c>
      <c r="AJ2" s="9">
        <v>18</v>
      </c>
      <c r="AK2" s="9">
        <v>25</v>
      </c>
      <c r="AL2" s="16">
        <v>45.84</v>
      </c>
      <c r="AM2" s="9">
        <v>33</v>
      </c>
    </row>
    <row r="3" spans="1:39" ht="16.2" x14ac:dyDescent="0.3">
      <c r="A3" s="4" t="s">
        <v>250</v>
      </c>
      <c r="B3" s="15">
        <v>200</v>
      </c>
      <c r="C3" s="9" t="s">
        <v>19</v>
      </c>
      <c r="K3" s="78" t="s">
        <v>322</v>
      </c>
      <c r="L3" s="79">
        <v>30</v>
      </c>
      <c r="M3" s="79">
        <v>5</v>
      </c>
      <c r="N3" s="79"/>
      <c r="O3" s="79">
        <v>9386</v>
      </c>
      <c r="P3" s="79">
        <v>18196</v>
      </c>
      <c r="Q3" s="79"/>
      <c r="R3" s="79">
        <v>85</v>
      </c>
      <c r="S3" s="78" t="s">
        <v>286</v>
      </c>
      <c r="T3" s="78" t="s">
        <v>477</v>
      </c>
      <c r="U3" s="83"/>
      <c r="V3" s="79">
        <v>0.6</v>
      </c>
      <c r="W3" s="84">
        <v>1500</v>
      </c>
      <c r="X3" s="79">
        <v>4</v>
      </c>
      <c r="Y3" s="79">
        <v>2.6</v>
      </c>
      <c r="Z3" s="84">
        <v>2000</v>
      </c>
      <c r="AA3" s="79">
        <v>12</v>
      </c>
      <c r="AB3" s="83">
        <v>7.8</v>
      </c>
      <c r="AC3" s="79">
        <v>5.8</v>
      </c>
      <c r="AD3" s="84">
        <v>19</v>
      </c>
      <c r="AE3" s="79">
        <f>58-5.3</f>
        <v>52.7</v>
      </c>
      <c r="AF3" s="78" t="s">
        <v>476</v>
      </c>
      <c r="AI3" s="9" t="s">
        <v>248</v>
      </c>
      <c r="AJ3" s="9">
        <v>18</v>
      </c>
      <c r="AK3" s="9">
        <v>30</v>
      </c>
      <c r="AL3" s="16">
        <v>45.84</v>
      </c>
      <c r="AM3" s="9">
        <v>38</v>
      </c>
    </row>
    <row r="4" spans="1:39" ht="16.2" x14ac:dyDescent="0.3">
      <c r="A4" s="4" t="s">
        <v>247</v>
      </c>
      <c r="B4" s="15">
        <v>90</v>
      </c>
      <c r="C4" s="9" t="s">
        <v>246</v>
      </c>
      <c r="K4" s="78" t="s">
        <v>287</v>
      </c>
      <c r="L4" s="79">
        <v>30</v>
      </c>
      <c r="M4" s="79">
        <v>6</v>
      </c>
      <c r="N4" s="79"/>
      <c r="O4" s="79">
        <v>9694</v>
      </c>
      <c r="P4" s="79">
        <v>17892</v>
      </c>
      <c r="Q4" s="79"/>
      <c r="R4" s="79">
        <v>85</v>
      </c>
      <c r="S4" s="78" t="s">
        <v>286</v>
      </c>
      <c r="T4" s="78" t="s">
        <v>478</v>
      </c>
      <c r="U4" s="83"/>
      <c r="V4" s="79">
        <v>0.75</v>
      </c>
      <c r="W4" s="84">
        <v>2000</v>
      </c>
      <c r="X4" s="79">
        <v>3.58</v>
      </c>
      <c r="Y4" s="79">
        <v>3.2</v>
      </c>
      <c r="Z4" s="84">
        <v>2500</v>
      </c>
      <c r="AA4" s="79">
        <v>10.7</v>
      </c>
      <c r="AB4" s="83">
        <v>9.6</v>
      </c>
      <c r="AC4" s="79">
        <v>5.8</v>
      </c>
      <c r="AD4" s="84">
        <v>19</v>
      </c>
      <c r="AE4" s="79">
        <f>58-5.3</f>
        <v>52.7</v>
      </c>
      <c r="AF4" s="78" t="s">
        <v>476</v>
      </c>
      <c r="AI4" s="9" t="s">
        <v>245</v>
      </c>
      <c r="AJ4" s="9">
        <v>19</v>
      </c>
      <c r="AK4" s="9">
        <v>25</v>
      </c>
      <c r="AL4" s="16">
        <v>48.38</v>
      </c>
      <c r="AM4" s="9">
        <v>33</v>
      </c>
    </row>
    <row r="5" spans="1:39" ht="16.2" x14ac:dyDescent="0.3">
      <c r="A5" s="4" t="s">
        <v>244</v>
      </c>
      <c r="B5" s="16">
        <v>0.01</v>
      </c>
      <c r="K5" s="78" t="s">
        <v>288</v>
      </c>
      <c r="L5" s="79">
        <v>30</v>
      </c>
      <c r="M5" s="79">
        <v>10</v>
      </c>
      <c r="N5" s="79"/>
      <c r="O5" s="79">
        <v>10849</v>
      </c>
      <c r="P5" s="79">
        <v>17792</v>
      </c>
      <c r="Q5" s="79"/>
      <c r="R5" s="79">
        <v>85</v>
      </c>
      <c r="S5" s="78" t="s">
        <v>286</v>
      </c>
      <c r="T5" s="78" t="s">
        <v>479</v>
      </c>
      <c r="U5" s="83"/>
      <c r="V5" s="79">
        <v>0.75</v>
      </c>
      <c r="W5" s="84">
        <v>1500</v>
      </c>
      <c r="X5" s="79">
        <v>5</v>
      </c>
      <c r="Y5" s="79">
        <v>3.2</v>
      </c>
      <c r="Z5" s="84">
        <v>2000</v>
      </c>
      <c r="AA5" s="79">
        <v>12</v>
      </c>
      <c r="AB5" s="83">
        <v>9.6</v>
      </c>
      <c r="AC5" s="79">
        <v>6.6</v>
      </c>
      <c r="AD5" s="84">
        <v>19</v>
      </c>
      <c r="AE5" s="79">
        <f>58-5.3</f>
        <v>52.7</v>
      </c>
      <c r="AF5" s="78" t="s">
        <v>476</v>
      </c>
      <c r="AI5" s="9" t="s">
        <v>243</v>
      </c>
      <c r="AJ5" s="9">
        <v>19</v>
      </c>
      <c r="AK5" s="9">
        <v>30</v>
      </c>
      <c r="AL5" s="16">
        <v>48.38</v>
      </c>
      <c r="AM5" s="9">
        <v>38</v>
      </c>
    </row>
    <row r="6" spans="1:39" x14ac:dyDescent="0.3">
      <c r="K6" s="78" t="s">
        <v>289</v>
      </c>
      <c r="L6" s="79">
        <v>30</v>
      </c>
      <c r="M6" s="79">
        <v>20</v>
      </c>
      <c r="N6" s="79"/>
      <c r="O6" s="79">
        <v>12580</v>
      </c>
      <c r="P6" s="79">
        <v>18090</v>
      </c>
      <c r="Q6" s="79"/>
      <c r="R6" s="79">
        <v>85</v>
      </c>
      <c r="S6" s="78" t="s">
        <v>286</v>
      </c>
      <c r="T6" s="78" t="s">
        <v>480</v>
      </c>
      <c r="U6" s="9" t="s">
        <v>481</v>
      </c>
      <c r="V6" s="85">
        <v>2</v>
      </c>
      <c r="W6" s="86">
        <v>3000</v>
      </c>
      <c r="X6" s="85">
        <v>6.4</v>
      </c>
      <c r="Y6" s="85">
        <v>9.5</v>
      </c>
      <c r="Z6" s="86">
        <v>5000</v>
      </c>
      <c r="AA6" s="85">
        <v>19.2</v>
      </c>
      <c r="AB6" s="38"/>
      <c r="AC6" s="85"/>
      <c r="AD6" s="87">
        <v>19</v>
      </c>
      <c r="AE6" s="88">
        <v>50</v>
      </c>
      <c r="AF6" s="78" t="s">
        <v>476</v>
      </c>
      <c r="AI6" s="9" t="s">
        <v>241</v>
      </c>
      <c r="AJ6" s="9">
        <v>20</v>
      </c>
      <c r="AK6" s="9">
        <v>25</v>
      </c>
      <c r="AL6" s="16">
        <v>50.93</v>
      </c>
      <c r="AM6" s="9">
        <v>33</v>
      </c>
    </row>
    <row r="7" spans="1:39" ht="16.2" x14ac:dyDescent="0.3">
      <c r="A7" s="47" t="s">
        <v>240</v>
      </c>
      <c r="B7" s="46" t="s">
        <v>583</v>
      </c>
      <c r="C7" s="10"/>
      <c r="D7" s="9" t="s">
        <v>580</v>
      </c>
      <c r="F7" s="9" t="s">
        <v>577</v>
      </c>
      <c r="K7" s="78" t="s">
        <v>290</v>
      </c>
      <c r="L7" s="79">
        <v>30</v>
      </c>
      <c r="M7" s="79">
        <v>6</v>
      </c>
      <c r="N7" s="79"/>
      <c r="O7" s="79">
        <v>9230</v>
      </c>
      <c r="P7" s="79">
        <v>18305</v>
      </c>
      <c r="Q7" s="79"/>
      <c r="R7" s="79">
        <v>80</v>
      </c>
      <c r="S7" s="78" t="s">
        <v>286</v>
      </c>
      <c r="T7" s="78" t="s">
        <v>482</v>
      </c>
      <c r="U7" s="9" t="s">
        <v>483</v>
      </c>
      <c r="V7" s="85">
        <v>3</v>
      </c>
      <c r="W7" s="86">
        <v>2000</v>
      </c>
      <c r="X7" s="85">
        <v>15</v>
      </c>
      <c r="Y7" s="85">
        <v>11.7</v>
      </c>
      <c r="Z7" s="86">
        <v>2300</v>
      </c>
      <c r="AA7" s="85">
        <v>15</v>
      </c>
      <c r="AB7" s="38"/>
      <c r="AC7" s="85"/>
      <c r="AD7" s="87">
        <v>22</v>
      </c>
      <c r="AE7" s="88">
        <v>52</v>
      </c>
      <c r="AF7" s="78" t="s">
        <v>476</v>
      </c>
      <c r="AI7" s="9" t="s">
        <v>238</v>
      </c>
      <c r="AJ7" s="9">
        <v>20</v>
      </c>
      <c r="AK7" s="9">
        <v>30</v>
      </c>
      <c r="AL7" s="16">
        <v>50.93</v>
      </c>
      <c r="AM7" s="9">
        <v>38</v>
      </c>
    </row>
    <row r="8" spans="1:39" ht="19.8" x14ac:dyDescent="0.3">
      <c r="A8" s="4" t="s">
        <v>21</v>
      </c>
      <c r="B8" s="15">
        <f>INDEX($K$2:$S$195,MATCH($B$7,$K$2:$K$195),2)</f>
        <v>32</v>
      </c>
      <c r="C8" s="9" t="s">
        <v>19</v>
      </c>
      <c r="K8" s="78" t="s">
        <v>291</v>
      </c>
      <c r="L8" s="79">
        <v>30</v>
      </c>
      <c r="M8" s="79">
        <v>9</v>
      </c>
      <c r="N8" s="79"/>
      <c r="O8" s="79">
        <v>9951</v>
      </c>
      <c r="P8" s="79">
        <v>17760</v>
      </c>
      <c r="Q8" s="79"/>
      <c r="R8" s="79">
        <v>80</v>
      </c>
      <c r="S8" s="78" t="s">
        <v>286</v>
      </c>
      <c r="T8" s="89" t="s">
        <v>484</v>
      </c>
      <c r="U8" s="9" t="s">
        <v>242</v>
      </c>
      <c r="V8" s="85">
        <v>0.4</v>
      </c>
      <c r="W8" s="86">
        <v>3000</v>
      </c>
      <c r="X8" s="85">
        <v>1.274</v>
      </c>
      <c r="Y8" s="85">
        <v>2</v>
      </c>
      <c r="Z8" s="86">
        <v>4000</v>
      </c>
      <c r="AA8" s="85">
        <v>3.8220000000000001</v>
      </c>
      <c r="AB8" s="38">
        <v>6</v>
      </c>
      <c r="AC8" s="85">
        <v>2</v>
      </c>
      <c r="AD8" s="87">
        <v>14</v>
      </c>
      <c r="AE8" s="88">
        <v>27</v>
      </c>
      <c r="AF8" s="78" t="s">
        <v>485</v>
      </c>
      <c r="AI8" s="9" t="s">
        <v>236</v>
      </c>
      <c r="AJ8" s="9">
        <v>21</v>
      </c>
      <c r="AK8" s="9">
        <v>25</v>
      </c>
      <c r="AL8" s="16">
        <v>53.48</v>
      </c>
      <c r="AM8" s="9">
        <v>33</v>
      </c>
    </row>
    <row r="9" spans="1:39" ht="18.600000000000001" x14ac:dyDescent="0.4">
      <c r="A9" s="5" t="s">
        <v>12</v>
      </c>
      <c r="B9" s="15">
        <f>INDEX($K$2:$S$195,MATCH($B$7,$K$2:$K$195),3)</f>
        <v>10</v>
      </c>
      <c r="C9" s="9" t="s">
        <v>17</v>
      </c>
      <c r="K9" s="78" t="s">
        <v>292</v>
      </c>
      <c r="L9" s="79">
        <v>30</v>
      </c>
      <c r="M9" s="79">
        <v>12</v>
      </c>
      <c r="N9" s="79"/>
      <c r="O9" s="79">
        <v>10878</v>
      </c>
      <c r="P9" s="79">
        <v>18480</v>
      </c>
      <c r="Q9" s="79"/>
      <c r="R9" s="79">
        <v>80</v>
      </c>
      <c r="S9" s="78" t="s">
        <v>286</v>
      </c>
      <c r="T9" s="89" t="s">
        <v>486</v>
      </c>
      <c r="U9" s="9" t="s">
        <v>242</v>
      </c>
      <c r="V9" s="85">
        <v>0.4</v>
      </c>
      <c r="W9" s="86">
        <v>2000</v>
      </c>
      <c r="X9" s="85">
        <v>1.9</v>
      </c>
      <c r="Y9" s="85">
        <v>2.5</v>
      </c>
      <c r="Z9" s="86">
        <v>4000</v>
      </c>
      <c r="AA9" s="85">
        <v>5.7</v>
      </c>
      <c r="AB9" s="38">
        <v>7.5</v>
      </c>
      <c r="AC9" s="85">
        <v>3</v>
      </c>
      <c r="AD9" s="87">
        <v>14</v>
      </c>
      <c r="AE9" s="88">
        <v>30</v>
      </c>
      <c r="AF9" s="78" t="s">
        <v>485</v>
      </c>
      <c r="AI9" s="9" t="s">
        <v>233</v>
      </c>
      <c r="AJ9" s="9">
        <v>21</v>
      </c>
      <c r="AK9" s="9">
        <v>30</v>
      </c>
      <c r="AL9" s="16">
        <v>53.48</v>
      </c>
      <c r="AM9" s="9">
        <v>38</v>
      </c>
    </row>
    <row r="10" spans="1:39" ht="18.600000000000001" x14ac:dyDescent="0.3">
      <c r="A10" s="4" t="s">
        <v>279</v>
      </c>
      <c r="B10" s="15">
        <f>INDEX($K$2:$S$195,MATCH($B$7,$K$2:$K$195),5)</f>
        <v>4565</v>
      </c>
      <c r="C10" s="9" t="s">
        <v>40</v>
      </c>
      <c r="D10" s="93">
        <f>+B10*$D$53</f>
        <v>44782.65</v>
      </c>
      <c r="E10" s="9" t="s">
        <v>0</v>
      </c>
      <c r="K10" s="78" t="s">
        <v>293</v>
      </c>
      <c r="L10" s="79">
        <v>30</v>
      </c>
      <c r="M10" s="79">
        <v>18</v>
      </c>
      <c r="N10" s="79"/>
      <c r="O10" s="79">
        <v>11647</v>
      </c>
      <c r="P10" s="79">
        <v>18017</v>
      </c>
      <c r="Q10" s="79"/>
      <c r="R10" s="79">
        <v>80</v>
      </c>
      <c r="S10" s="78" t="s">
        <v>286</v>
      </c>
      <c r="T10" s="89" t="s">
        <v>487</v>
      </c>
      <c r="U10" s="9" t="s">
        <v>242</v>
      </c>
      <c r="V10" s="85">
        <v>0.6</v>
      </c>
      <c r="W10" s="86">
        <v>2000</v>
      </c>
      <c r="X10" s="85">
        <v>2.84</v>
      </c>
      <c r="Y10" s="85">
        <v>3.2</v>
      </c>
      <c r="Z10" s="86">
        <v>4000</v>
      </c>
      <c r="AA10" s="85">
        <v>8.52</v>
      </c>
      <c r="AB10" s="38">
        <v>9</v>
      </c>
      <c r="AC10" s="85">
        <v>4</v>
      </c>
      <c r="AD10" s="87">
        <v>16</v>
      </c>
      <c r="AE10" s="88">
        <v>30</v>
      </c>
      <c r="AF10" s="78" t="s">
        <v>485</v>
      </c>
      <c r="AI10" s="9" t="s">
        <v>231</v>
      </c>
      <c r="AJ10" s="9">
        <v>22</v>
      </c>
      <c r="AK10" s="9">
        <v>25</v>
      </c>
      <c r="AL10" s="16">
        <v>56.02</v>
      </c>
      <c r="AM10" s="9">
        <v>33</v>
      </c>
    </row>
    <row r="11" spans="1:39" ht="18.600000000000001" x14ac:dyDescent="0.3">
      <c r="A11" s="9" t="s">
        <v>280</v>
      </c>
      <c r="B11" s="15">
        <f>INDEX($K$2:$S$195,MATCH($B$7,$K$2:$K$195),6)</f>
        <v>11598</v>
      </c>
      <c r="C11" s="9" t="s">
        <v>40</v>
      </c>
      <c r="D11" s="93">
        <f>+B11*$D$53</f>
        <v>113776.38</v>
      </c>
      <c r="E11" s="9" t="s">
        <v>0</v>
      </c>
      <c r="K11" s="78" t="s">
        <v>294</v>
      </c>
      <c r="L11" s="79">
        <v>30</v>
      </c>
      <c r="M11" s="79">
        <v>24</v>
      </c>
      <c r="N11" s="79"/>
      <c r="O11" s="79">
        <v>12612</v>
      </c>
      <c r="P11" s="79">
        <v>18814</v>
      </c>
      <c r="Q11" s="79"/>
      <c r="R11" s="79">
        <v>80</v>
      </c>
      <c r="S11" s="78" t="s">
        <v>286</v>
      </c>
      <c r="T11" s="89" t="s">
        <v>488</v>
      </c>
      <c r="U11" s="9" t="s">
        <v>242</v>
      </c>
      <c r="V11" s="85">
        <v>1</v>
      </c>
      <c r="W11" s="86">
        <v>2000</v>
      </c>
      <c r="X11" s="85">
        <v>4.8</v>
      </c>
      <c r="Y11" s="85">
        <v>5.2</v>
      </c>
      <c r="Z11" s="86">
        <v>4000</v>
      </c>
      <c r="AA11" s="85">
        <v>14.4</v>
      </c>
      <c r="AB11" s="38">
        <v>15.6</v>
      </c>
      <c r="AC11" s="85">
        <v>6</v>
      </c>
      <c r="AD11" s="87">
        <v>16</v>
      </c>
      <c r="AE11" s="88">
        <v>30</v>
      </c>
      <c r="AF11" s="78" t="s">
        <v>485</v>
      </c>
      <c r="AI11" s="9" t="s">
        <v>229</v>
      </c>
      <c r="AJ11" s="9">
        <v>22</v>
      </c>
      <c r="AK11" s="9">
        <v>30</v>
      </c>
      <c r="AL11" s="16">
        <v>56.02</v>
      </c>
      <c r="AM11" s="9">
        <v>38</v>
      </c>
    </row>
    <row r="12" spans="1:39" ht="16.2" x14ac:dyDescent="0.3">
      <c r="A12" s="4" t="s">
        <v>228</v>
      </c>
      <c r="B12" s="15">
        <f>INDEX($K$2:$S$195,MATCH($B$7,$K$2:$K$195),7)</f>
        <v>58</v>
      </c>
      <c r="C12" s="9" t="s">
        <v>227</v>
      </c>
      <c r="K12" s="78" t="s">
        <v>295</v>
      </c>
      <c r="L12" s="79">
        <v>39</v>
      </c>
      <c r="M12" s="79">
        <v>10</v>
      </c>
      <c r="N12" s="79"/>
      <c r="O12" s="79">
        <v>15573</v>
      </c>
      <c r="P12" s="79">
        <v>27646</v>
      </c>
      <c r="Q12" s="79"/>
      <c r="R12" s="79">
        <v>100</v>
      </c>
      <c r="S12" s="78" t="s">
        <v>286</v>
      </c>
      <c r="T12" s="89" t="s">
        <v>252</v>
      </c>
      <c r="U12" s="9" t="s">
        <v>242</v>
      </c>
      <c r="V12" s="85">
        <v>3</v>
      </c>
      <c r="W12" s="86">
        <v>3000</v>
      </c>
      <c r="X12" s="85">
        <v>14.3</v>
      </c>
      <c r="Y12" s="85">
        <v>10</v>
      </c>
      <c r="Z12" s="86">
        <v>4000</v>
      </c>
      <c r="AA12" s="85">
        <v>42.9</v>
      </c>
      <c r="AB12" s="38"/>
      <c r="AC12" s="85">
        <v>13</v>
      </c>
      <c r="AD12" s="87">
        <v>28</v>
      </c>
      <c r="AE12" s="88">
        <v>51</v>
      </c>
      <c r="AF12" s="78" t="s">
        <v>485</v>
      </c>
      <c r="AI12" s="9" t="s">
        <v>225</v>
      </c>
      <c r="AJ12" s="9">
        <v>24</v>
      </c>
      <c r="AK12" s="9">
        <v>25</v>
      </c>
      <c r="AL12" s="16">
        <v>61.12</v>
      </c>
      <c r="AM12" s="9">
        <v>33</v>
      </c>
    </row>
    <row r="13" spans="1:39" ht="16.2" x14ac:dyDescent="0.3">
      <c r="A13" s="4" t="s">
        <v>224</v>
      </c>
      <c r="B13" s="15">
        <f>INDEX($K$2:$S$195,MATCH($B$7,$K$2:$K$195),8)</f>
        <v>85</v>
      </c>
      <c r="C13" s="9" t="s">
        <v>19</v>
      </c>
      <c r="K13" s="78" t="s">
        <v>296</v>
      </c>
      <c r="L13" s="79">
        <v>39</v>
      </c>
      <c r="M13" s="79">
        <v>20</v>
      </c>
      <c r="N13" s="79"/>
      <c r="O13" s="79">
        <v>17635</v>
      </c>
      <c r="P13" s="79">
        <v>26621</v>
      </c>
      <c r="Q13" s="79"/>
      <c r="R13" s="79">
        <v>100</v>
      </c>
      <c r="S13" s="78" t="s">
        <v>286</v>
      </c>
      <c r="T13" s="89" t="s">
        <v>249</v>
      </c>
      <c r="U13" s="9" t="s">
        <v>242</v>
      </c>
      <c r="V13" s="85">
        <v>3</v>
      </c>
      <c r="W13" s="86">
        <v>3000</v>
      </c>
      <c r="X13" s="85">
        <v>14.3</v>
      </c>
      <c r="Y13" s="85">
        <v>6.7</v>
      </c>
      <c r="Z13" s="86">
        <v>4000</v>
      </c>
      <c r="AA13" s="85">
        <v>42.9</v>
      </c>
      <c r="AB13" s="38"/>
      <c r="AC13" s="85">
        <v>13</v>
      </c>
      <c r="AD13" s="87">
        <v>28</v>
      </c>
      <c r="AE13" s="88">
        <v>51</v>
      </c>
      <c r="AF13" s="78" t="s">
        <v>485</v>
      </c>
      <c r="AI13" s="9" t="s">
        <v>222</v>
      </c>
      <c r="AJ13" s="9">
        <v>24</v>
      </c>
      <c r="AK13" s="9">
        <v>30</v>
      </c>
      <c r="AL13" s="16">
        <v>61.12</v>
      </c>
      <c r="AM13" s="9">
        <v>38</v>
      </c>
    </row>
    <row r="14" spans="1:39" ht="16.2" x14ac:dyDescent="0.3">
      <c r="A14" s="4" t="s">
        <v>20</v>
      </c>
      <c r="B14" s="15">
        <f>+B3+B13+200</f>
        <v>485</v>
      </c>
      <c r="C14" s="9" t="s">
        <v>19</v>
      </c>
      <c r="K14" s="78" t="s">
        <v>297</v>
      </c>
      <c r="L14" s="79">
        <v>48</v>
      </c>
      <c r="M14" s="79">
        <v>10</v>
      </c>
      <c r="N14" s="79"/>
      <c r="O14" s="79">
        <v>23627</v>
      </c>
      <c r="P14" s="79">
        <v>48481</v>
      </c>
      <c r="Q14" s="79"/>
      <c r="R14" s="79">
        <v>127</v>
      </c>
      <c r="S14" s="78" t="s">
        <v>286</v>
      </c>
      <c r="T14" s="89" t="s">
        <v>239</v>
      </c>
      <c r="U14" s="9" t="s">
        <v>210</v>
      </c>
      <c r="V14" s="85">
        <v>1</v>
      </c>
      <c r="W14" s="86">
        <v>3000</v>
      </c>
      <c r="X14" s="85">
        <v>3.18</v>
      </c>
      <c r="Y14" s="85">
        <v>6.1</v>
      </c>
      <c r="Z14" s="86">
        <v>5175</v>
      </c>
      <c r="AA14" s="85">
        <v>7.95</v>
      </c>
      <c r="AB14" s="38">
        <v>18</v>
      </c>
      <c r="AC14" s="85">
        <v>6</v>
      </c>
      <c r="AD14" s="87">
        <v>24</v>
      </c>
      <c r="AE14" s="88">
        <v>40</v>
      </c>
      <c r="AF14" s="78" t="s">
        <v>489</v>
      </c>
      <c r="AI14" s="9" t="s">
        <v>220</v>
      </c>
      <c r="AJ14" s="9">
        <v>25</v>
      </c>
      <c r="AK14" s="9">
        <v>25</v>
      </c>
      <c r="AL14" s="16">
        <v>63.66</v>
      </c>
      <c r="AM14" s="9">
        <v>33</v>
      </c>
    </row>
    <row r="15" spans="1:39" ht="19.8" x14ac:dyDescent="0.3">
      <c r="A15" s="4" t="s">
        <v>22</v>
      </c>
      <c r="B15" s="16">
        <f>ROUND(0.25*B8^2*PI()*B14*7850/1000000000,2)</f>
        <v>3.06</v>
      </c>
      <c r="C15" s="15" t="s">
        <v>18</v>
      </c>
      <c r="K15" s="78" t="s">
        <v>298</v>
      </c>
      <c r="L15" s="79">
        <v>48</v>
      </c>
      <c r="M15" s="79">
        <v>20</v>
      </c>
      <c r="N15" s="79"/>
      <c r="O15" s="79">
        <v>27111</v>
      </c>
      <c r="P15" s="79">
        <v>47170</v>
      </c>
      <c r="Q15" s="79"/>
      <c r="R15" s="79">
        <v>127</v>
      </c>
      <c r="S15" s="78" t="s">
        <v>286</v>
      </c>
      <c r="T15" s="89" t="s">
        <v>237</v>
      </c>
      <c r="U15" s="9" t="s">
        <v>210</v>
      </c>
      <c r="V15" s="85">
        <v>1.5</v>
      </c>
      <c r="W15" s="86">
        <v>3000</v>
      </c>
      <c r="X15" s="85">
        <v>4.78</v>
      </c>
      <c r="Y15" s="85">
        <v>8.8000000000000007</v>
      </c>
      <c r="Z15" s="86">
        <v>5175</v>
      </c>
      <c r="AA15" s="85">
        <v>11.9</v>
      </c>
      <c r="AB15" s="38">
        <v>23</v>
      </c>
      <c r="AC15" s="85">
        <v>7</v>
      </c>
      <c r="AD15" s="87">
        <v>24</v>
      </c>
      <c r="AE15" s="88">
        <v>40</v>
      </c>
      <c r="AF15" s="78" t="s">
        <v>489</v>
      </c>
      <c r="AI15" s="9" t="s">
        <v>218</v>
      </c>
      <c r="AJ15" s="9">
        <v>25</v>
      </c>
      <c r="AK15" s="9">
        <v>30</v>
      </c>
      <c r="AL15" s="16">
        <v>63.66</v>
      </c>
      <c r="AM15" s="9">
        <v>38</v>
      </c>
    </row>
    <row r="16" spans="1:39" ht="16.2" x14ac:dyDescent="0.3">
      <c r="A16" s="4"/>
      <c r="B16" s="15"/>
      <c r="K16" s="78" t="s">
        <v>299</v>
      </c>
      <c r="L16" s="79">
        <v>56</v>
      </c>
      <c r="M16" s="79">
        <v>12</v>
      </c>
      <c r="N16" s="79"/>
      <c r="O16" s="79">
        <v>21650</v>
      </c>
      <c r="P16" s="79">
        <v>44196</v>
      </c>
      <c r="Q16" s="79"/>
      <c r="R16" s="79">
        <v>112</v>
      </c>
      <c r="S16" s="78" t="s">
        <v>286</v>
      </c>
      <c r="T16" s="89" t="s">
        <v>235</v>
      </c>
      <c r="U16" s="9" t="s">
        <v>234</v>
      </c>
      <c r="V16" s="85">
        <v>2</v>
      </c>
      <c r="W16" s="86">
        <v>3000</v>
      </c>
      <c r="X16" s="85">
        <v>6.37</v>
      </c>
      <c r="Y16" s="85">
        <v>14</v>
      </c>
      <c r="Z16" s="86">
        <v>5175</v>
      </c>
      <c r="AA16" s="85">
        <v>15.9</v>
      </c>
      <c r="AB16" s="38">
        <v>37</v>
      </c>
      <c r="AC16" s="85">
        <v>8.3000000000000007</v>
      </c>
      <c r="AD16" s="87">
        <v>24</v>
      </c>
      <c r="AE16" s="88">
        <v>40</v>
      </c>
      <c r="AF16" s="78" t="s">
        <v>489</v>
      </c>
      <c r="AI16" s="9" t="s">
        <v>215</v>
      </c>
      <c r="AJ16" s="9">
        <v>26</v>
      </c>
      <c r="AK16" s="9">
        <v>25</v>
      </c>
      <c r="AL16" s="16">
        <v>66.209999999999994</v>
      </c>
      <c r="AM16" s="9">
        <v>33</v>
      </c>
    </row>
    <row r="17" spans="1:39" ht="17.399999999999999" x14ac:dyDescent="0.3">
      <c r="A17" s="55" t="s">
        <v>214</v>
      </c>
      <c r="B17" s="54">
        <v>0.3</v>
      </c>
      <c r="C17" s="24" t="s">
        <v>213</v>
      </c>
      <c r="D17" s="53">
        <f>+B17*9.81</f>
        <v>2.9430000000000001</v>
      </c>
      <c r="E17" s="9" t="s">
        <v>212</v>
      </c>
      <c r="F17" s="15">
        <f>+D17*1000</f>
        <v>2943</v>
      </c>
      <c r="G17" s="9" t="s">
        <v>211</v>
      </c>
      <c r="K17" s="78" t="s">
        <v>300</v>
      </c>
      <c r="L17" s="79">
        <v>56</v>
      </c>
      <c r="M17" s="79">
        <v>24</v>
      </c>
      <c r="N17" s="79"/>
      <c r="O17" s="79">
        <v>24716</v>
      </c>
      <c r="P17" s="79">
        <v>42770</v>
      </c>
      <c r="Q17" s="79"/>
      <c r="R17" s="79">
        <v>112</v>
      </c>
      <c r="S17" s="78" t="s">
        <v>286</v>
      </c>
      <c r="T17" s="89" t="s">
        <v>232</v>
      </c>
      <c r="U17" s="9" t="s">
        <v>210</v>
      </c>
      <c r="V17" s="85">
        <v>1.5</v>
      </c>
      <c r="W17" s="86">
        <v>2000</v>
      </c>
      <c r="X17" s="85">
        <v>7.16</v>
      </c>
      <c r="Y17" s="85">
        <v>8</v>
      </c>
      <c r="Z17" s="86">
        <v>3450</v>
      </c>
      <c r="AA17" s="85">
        <v>21.5</v>
      </c>
      <c r="AB17" s="38">
        <v>24</v>
      </c>
      <c r="AC17" s="85">
        <v>10.3</v>
      </c>
      <c r="AD17" s="87">
        <v>24</v>
      </c>
      <c r="AE17" s="88">
        <v>50</v>
      </c>
      <c r="AF17" s="78" t="s">
        <v>489</v>
      </c>
      <c r="AI17" s="9" t="s">
        <v>209</v>
      </c>
      <c r="AJ17" s="9">
        <v>26</v>
      </c>
      <c r="AK17" s="9">
        <v>30</v>
      </c>
      <c r="AL17" s="16">
        <v>66.209999999999994</v>
      </c>
      <c r="AM17" s="9">
        <v>38</v>
      </c>
    </row>
    <row r="18" spans="1:39" ht="16.2" x14ac:dyDescent="0.3">
      <c r="A18" s="4" t="s">
        <v>208</v>
      </c>
      <c r="K18" s="78" t="s">
        <v>301</v>
      </c>
      <c r="L18" s="79">
        <v>60</v>
      </c>
      <c r="M18" s="79">
        <v>10</v>
      </c>
      <c r="N18" s="79"/>
      <c r="O18" s="79">
        <v>34548</v>
      </c>
      <c r="P18" s="79">
        <v>79560</v>
      </c>
      <c r="Q18" s="79"/>
      <c r="R18" s="79">
        <v>152</v>
      </c>
      <c r="S18" s="78" t="s">
        <v>286</v>
      </c>
      <c r="T18" s="89" t="s">
        <v>230</v>
      </c>
      <c r="U18" s="9" t="s">
        <v>216</v>
      </c>
      <c r="V18" s="85">
        <v>5</v>
      </c>
      <c r="W18" s="86">
        <v>3000</v>
      </c>
      <c r="X18" s="85">
        <v>15.9</v>
      </c>
      <c r="Y18" s="85">
        <v>28</v>
      </c>
      <c r="Z18" s="86">
        <v>5175</v>
      </c>
      <c r="AA18" s="85">
        <v>39.700000000000003</v>
      </c>
      <c r="AB18" s="38">
        <v>70</v>
      </c>
      <c r="AC18" s="85">
        <v>21</v>
      </c>
      <c r="AD18" s="87">
        <v>28</v>
      </c>
      <c r="AE18" s="88">
        <v>58</v>
      </c>
      <c r="AF18" s="78" t="s">
        <v>489</v>
      </c>
      <c r="AI18" s="9" t="s">
        <v>206</v>
      </c>
      <c r="AJ18" s="9">
        <v>28</v>
      </c>
      <c r="AK18" s="9">
        <v>25</v>
      </c>
      <c r="AL18" s="16">
        <v>71.3</v>
      </c>
      <c r="AM18" s="9">
        <v>33</v>
      </c>
    </row>
    <row r="19" spans="1:39" ht="16.2" x14ac:dyDescent="0.3">
      <c r="A19" s="4" t="s">
        <v>205</v>
      </c>
      <c r="K19" s="78" t="s">
        <v>302</v>
      </c>
      <c r="L19" s="79">
        <v>60</v>
      </c>
      <c r="M19" s="79">
        <v>20</v>
      </c>
      <c r="N19" s="79"/>
      <c r="O19" s="79">
        <v>40303</v>
      </c>
      <c r="P19" s="79">
        <v>80169</v>
      </c>
      <c r="Q19" s="79"/>
      <c r="R19" s="79">
        <v>152</v>
      </c>
      <c r="S19" s="78" t="s">
        <v>286</v>
      </c>
      <c r="T19" s="89" t="s">
        <v>226</v>
      </c>
      <c r="U19" s="9" t="s">
        <v>210</v>
      </c>
      <c r="V19" s="85">
        <v>3.5</v>
      </c>
      <c r="W19" s="86">
        <v>2000</v>
      </c>
      <c r="X19" s="85">
        <v>16.7</v>
      </c>
      <c r="Y19" s="85">
        <v>16</v>
      </c>
      <c r="Z19" s="86">
        <v>3450</v>
      </c>
      <c r="AA19" s="85">
        <v>50.1</v>
      </c>
      <c r="AB19" s="38">
        <v>48</v>
      </c>
      <c r="AC19" s="85">
        <v>25</v>
      </c>
      <c r="AD19" s="87">
        <v>35</v>
      </c>
      <c r="AE19" s="88">
        <v>75</v>
      </c>
      <c r="AF19" s="78" t="s">
        <v>489</v>
      </c>
      <c r="AI19" s="9" t="s">
        <v>203</v>
      </c>
      <c r="AJ19" s="9">
        <v>28</v>
      </c>
      <c r="AK19" s="9">
        <v>30</v>
      </c>
      <c r="AL19" s="16">
        <v>71.3</v>
      </c>
      <c r="AM19" s="9">
        <v>38</v>
      </c>
    </row>
    <row r="20" spans="1:39" ht="17.399999999999999" x14ac:dyDescent="0.3">
      <c r="A20" s="4" t="s">
        <v>202</v>
      </c>
      <c r="K20" s="78" t="s">
        <v>303</v>
      </c>
      <c r="L20" s="79">
        <v>64</v>
      </c>
      <c r="M20" s="79">
        <v>12</v>
      </c>
      <c r="N20" s="79"/>
      <c r="O20" s="79">
        <v>30243</v>
      </c>
      <c r="P20" s="79">
        <v>77888</v>
      </c>
      <c r="Q20" s="79"/>
      <c r="R20" s="79">
        <v>129</v>
      </c>
      <c r="S20" s="78" t="s">
        <v>286</v>
      </c>
      <c r="T20" s="89" t="s">
        <v>223</v>
      </c>
      <c r="U20" s="9" t="s">
        <v>210</v>
      </c>
      <c r="V20" s="85">
        <v>1.5</v>
      </c>
      <c r="W20" s="86">
        <v>2000</v>
      </c>
      <c r="X20" s="85">
        <v>7.16</v>
      </c>
      <c r="Y20" s="85">
        <v>8</v>
      </c>
      <c r="Z20" s="86">
        <v>3450</v>
      </c>
      <c r="AA20" s="85">
        <v>21.5</v>
      </c>
      <c r="AB20" s="38">
        <v>24</v>
      </c>
      <c r="AC20" s="85">
        <v>10.3</v>
      </c>
      <c r="AD20" s="87">
        <v>24</v>
      </c>
      <c r="AE20" s="88">
        <v>50</v>
      </c>
      <c r="AF20" s="78" t="s">
        <v>489</v>
      </c>
      <c r="AI20" s="9" t="s">
        <v>200</v>
      </c>
      <c r="AJ20" s="9">
        <v>30</v>
      </c>
      <c r="AK20" s="9">
        <v>15</v>
      </c>
      <c r="AL20" s="16">
        <v>28.65</v>
      </c>
      <c r="AM20" s="9">
        <v>21</v>
      </c>
    </row>
    <row r="21" spans="1:39" x14ac:dyDescent="0.3">
      <c r="K21" s="78" t="s">
        <v>304</v>
      </c>
      <c r="L21" s="79">
        <v>64</v>
      </c>
      <c r="M21" s="79">
        <v>24</v>
      </c>
      <c r="N21" s="79"/>
      <c r="O21" s="79">
        <v>33564</v>
      </c>
      <c r="P21" s="79">
        <v>70369</v>
      </c>
      <c r="Q21" s="79"/>
      <c r="R21" s="79">
        <v>129</v>
      </c>
      <c r="S21" s="78" t="s">
        <v>286</v>
      </c>
      <c r="T21" s="89" t="s">
        <v>221</v>
      </c>
      <c r="U21" s="9" t="s">
        <v>210</v>
      </c>
      <c r="V21" s="85">
        <v>7</v>
      </c>
      <c r="W21" s="86">
        <v>2000</v>
      </c>
      <c r="X21" s="85">
        <v>33.4</v>
      </c>
      <c r="Y21" s="85">
        <v>33</v>
      </c>
      <c r="Z21" s="86">
        <v>3450</v>
      </c>
      <c r="AA21" s="85">
        <v>100</v>
      </c>
      <c r="AB21" s="38">
        <v>99</v>
      </c>
      <c r="AC21" s="85">
        <v>38</v>
      </c>
      <c r="AD21" s="87">
        <v>35</v>
      </c>
      <c r="AE21" s="88">
        <v>75</v>
      </c>
      <c r="AF21" s="78" t="s">
        <v>489</v>
      </c>
      <c r="AI21" s="9" t="s">
        <v>198</v>
      </c>
      <c r="AJ21" s="9">
        <v>30</v>
      </c>
      <c r="AK21" s="9">
        <v>25</v>
      </c>
      <c r="AL21" s="16">
        <v>76.39</v>
      </c>
      <c r="AM21" s="9">
        <v>33</v>
      </c>
    </row>
    <row r="22" spans="1:39" ht="17.399999999999999" x14ac:dyDescent="0.3">
      <c r="A22" s="4" t="s">
        <v>197</v>
      </c>
      <c r="B22" s="45">
        <f>+F17/B9</f>
        <v>294.3</v>
      </c>
      <c r="C22" s="9" t="s">
        <v>196</v>
      </c>
      <c r="D22" s="15">
        <f>+ROUND(B22*2*PI(),0)</f>
        <v>1849</v>
      </c>
      <c r="E22" s="9" t="s">
        <v>16</v>
      </c>
      <c r="K22" s="78" t="s">
        <v>305</v>
      </c>
      <c r="L22" s="79">
        <v>75</v>
      </c>
      <c r="M22" s="79">
        <v>10</v>
      </c>
      <c r="N22" s="79"/>
      <c r="O22" s="79">
        <v>51516</v>
      </c>
      <c r="P22" s="79">
        <v>151702</v>
      </c>
      <c r="Q22" s="79"/>
      <c r="R22" s="79">
        <v>191</v>
      </c>
      <c r="S22" s="78" t="s">
        <v>286</v>
      </c>
      <c r="T22" s="89" t="s">
        <v>219</v>
      </c>
      <c r="U22" s="9" t="s">
        <v>210</v>
      </c>
      <c r="V22" s="85">
        <v>3.5</v>
      </c>
      <c r="W22" s="86">
        <v>2000</v>
      </c>
      <c r="X22" s="85">
        <v>16.7</v>
      </c>
      <c r="Y22" s="85">
        <v>16</v>
      </c>
      <c r="Z22" s="86">
        <v>3450</v>
      </c>
      <c r="AA22" s="85">
        <v>50.1</v>
      </c>
      <c r="AB22" s="38">
        <v>48</v>
      </c>
      <c r="AC22" s="85">
        <v>25</v>
      </c>
      <c r="AD22" s="87">
        <v>35</v>
      </c>
      <c r="AE22" s="88">
        <v>75</v>
      </c>
      <c r="AF22" s="78" t="s">
        <v>489</v>
      </c>
      <c r="AI22" s="9" t="s">
        <v>194</v>
      </c>
      <c r="AJ22" s="9">
        <v>30</v>
      </c>
      <c r="AK22" s="9">
        <v>30</v>
      </c>
      <c r="AL22" s="16">
        <v>76.39</v>
      </c>
      <c r="AM22" s="9">
        <v>38</v>
      </c>
    </row>
    <row r="23" spans="1:39" ht="16.2" x14ac:dyDescent="0.3">
      <c r="A23" s="52" t="s">
        <v>193</v>
      </c>
      <c r="B23" s="51">
        <v>0.01</v>
      </c>
      <c r="C23" s="51" t="s">
        <v>192</v>
      </c>
      <c r="K23" s="78" t="s">
        <v>306</v>
      </c>
      <c r="L23" s="79">
        <v>75</v>
      </c>
      <c r="M23" s="79">
        <v>20</v>
      </c>
      <c r="N23" s="79"/>
      <c r="O23" s="79">
        <v>58394</v>
      </c>
      <c r="P23" s="79">
        <v>152640</v>
      </c>
      <c r="Q23" s="79"/>
      <c r="R23" s="79">
        <v>191</v>
      </c>
      <c r="S23" s="78" t="s">
        <v>286</v>
      </c>
      <c r="T23" s="89" t="s">
        <v>217</v>
      </c>
      <c r="U23" s="9" t="s">
        <v>216</v>
      </c>
      <c r="V23" s="85">
        <v>3.5</v>
      </c>
      <c r="W23" s="86">
        <v>3000</v>
      </c>
      <c r="X23" s="85">
        <v>11.1</v>
      </c>
      <c r="Y23" s="85">
        <v>23</v>
      </c>
      <c r="Z23" s="86">
        <v>5175</v>
      </c>
      <c r="AA23" s="85">
        <v>27.9</v>
      </c>
      <c r="AB23" s="38">
        <v>58</v>
      </c>
      <c r="AC23" s="85">
        <v>15</v>
      </c>
      <c r="AD23" s="87">
        <v>28</v>
      </c>
      <c r="AE23" s="88">
        <v>58</v>
      </c>
      <c r="AF23" s="78" t="s">
        <v>489</v>
      </c>
      <c r="AI23" s="9" t="s">
        <v>190</v>
      </c>
      <c r="AJ23" s="9">
        <v>32</v>
      </c>
      <c r="AK23" s="9">
        <v>25</v>
      </c>
      <c r="AL23" s="16">
        <v>81.489999999999995</v>
      </c>
      <c r="AM23" s="9">
        <v>33</v>
      </c>
    </row>
    <row r="24" spans="1:39" ht="16.2" x14ac:dyDescent="0.3">
      <c r="A24" s="4" t="s">
        <v>189</v>
      </c>
      <c r="B24" s="50">
        <v>0.22</v>
      </c>
      <c r="C24" s="9" t="s">
        <v>108</v>
      </c>
      <c r="D24" s="11">
        <f>+B24*1000</f>
        <v>220</v>
      </c>
      <c r="E24" s="9" t="s">
        <v>109</v>
      </c>
      <c r="F24" s="48">
        <f>+B24*60</f>
        <v>13.2</v>
      </c>
      <c r="G24" s="9" t="s">
        <v>110</v>
      </c>
      <c r="H24" s="15">
        <f>+D24*60</f>
        <v>13200</v>
      </c>
      <c r="I24" s="9" t="s">
        <v>111</v>
      </c>
      <c r="K24" s="78" t="s">
        <v>307</v>
      </c>
      <c r="L24" s="79">
        <v>80</v>
      </c>
      <c r="M24" s="79">
        <v>12</v>
      </c>
      <c r="N24" s="79"/>
      <c r="O24" s="79">
        <v>41864</v>
      </c>
      <c r="P24" s="79">
        <v>118690</v>
      </c>
      <c r="Q24" s="79"/>
      <c r="R24" s="79">
        <v>156</v>
      </c>
      <c r="S24" s="78" t="s">
        <v>286</v>
      </c>
      <c r="T24" s="89" t="s">
        <v>490</v>
      </c>
      <c r="U24" s="9" t="s">
        <v>210</v>
      </c>
      <c r="V24" s="85">
        <v>7</v>
      </c>
      <c r="W24" s="86">
        <v>2000</v>
      </c>
      <c r="X24" s="85">
        <v>33.4</v>
      </c>
      <c r="Y24" s="85">
        <v>33</v>
      </c>
      <c r="Z24" s="86">
        <v>3450</v>
      </c>
      <c r="AA24" s="85">
        <v>100</v>
      </c>
      <c r="AB24" s="38">
        <v>99</v>
      </c>
      <c r="AC24" s="85">
        <v>38</v>
      </c>
      <c r="AD24" s="87">
        <v>35</v>
      </c>
      <c r="AE24" s="88">
        <v>75</v>
      </c>
      <c r="AF24" s="78" t="s">
        <v>489</v>
      </c>
      <c r="AI24" s="9" t="s">
        <v>187</v>
      </c>
      <c r="AJ24" s="9">
        <v>32</v>
      </c>
      <c r="AK24" s="9">
        <v>30</v>
      </c>
      <c r="AL24" s="16">
        <v>81.489999999999995</v>
      </c>
      <c r="AM24" s="9">
        <v>38</v>
      </c>
    </row>
    <row r="25" spans="1:39" x14ac:dyDescent="0.3">
      <c r="K25" s="78" t="s">
        <v>308</v>
      </c>
      <c r="L25" s="79">
        <v>80</v>
      </c>
      <c r="M25" s="79">
        <v>18</v>
      </c>
      <c r="N25" s="79"/>
      <c r="O25" s="79">
        <v>46524</v>
      </c>
      <c r="P25" s="79">
        <v>119146</v>
      </c>
      <c r="Q25" s="79"/>
      <c r="R25" s="79">
        <v>156</v>
      </c>
      <c r="S25" s="78" t="s">
        <v>286</v>
      </c>
      <c r="T25" s="89" t="s">
        <v>491</v>
      </c>
      <c r="U25" s="9" t="s">
        <v>492</v>
      </c>
      <c r="V25" s="85">
        <v>1</v>
      </c>
      <c r="W25" s="86">
        <v>3000</v>
      </c>
      <c r="X25" s="85">
        <v>3.2</v>
      </c>
      <c r="Y25" s="85">
        <v>5.6</v>
      </c>
      <c r="Z25" s="86">
        <v>6000</v>
      </c>
      <c r="AA25" s="85">
        <v>9.6</v>
      </c>
      <c r="AB25" s="38">
        <v>17</v>
      </c>
      <c r="AC25" s="85">
        <v>4.5</v>
      </c>
      <c r="AD25" s="87">
        <v>16</v>
      </c>
      <c r="AE25" s="88">
        <v>30</v>
      </c>
      <c r="AF25" s="78" t="s">
        <v>489</v>
      </c>
      <c r="AI25" s="9" t="s">
        <v>185</v>
      </c>
      <c r="AJ25" s="9">
        <v>34</v>
      </c>
      <c r="AK25" s="9">
        <v>25</v>
      </c>
      <c r="AL25" s="16">
        <v>86.58</v>
      </c>
      <c r="AM25" s="9">
        <v>33</v>
      </c>
    </row>
    <row r="26" spans="1:39" ht="16.2" x14ac:dyDescent="0.3">
      <c r="A26" s="47" t="s">
        <v>184</v>
      </c>
      <c r="B26" s="46" t="s">
        <v>573</v>
      </c>
      <c r="K26" s="78" t="s">
        <v>309</v>
      </c>
      <c r="L26" s="79">
        <v>80</v>
      </c>
      <c r="M26" s="79">
        <v>24</v>
      </c>
      <c r="N26" s="79"/>
      <c r="O26" s="79">
        <v>46816</v>
      </c>
      <c r="P26" s="79">
        <v>119598</v>
      </c>
      <c r="Q26" s="79"/>
      <c r="R26" s="79">
        <v>156</v>
      </c>
      <c r="S26" s="78" t="s">
        <v>286</v>
      </c>
      <c r="T26" s="89" t="s">
        <v>493</v>
      </c>
      <c r="U26" s="9" t="s">
        <v>494</v>
      </c>
      <c r="V26" s="85">
        <v>1.5</v>
      </c>
      <c r="W26" s="86">
        <v>3000</v>
      </c>
      <c r="X26" s="85">
        <v>4.8</v>
      </c>
      <c r="Y26" s="85">
        <v>11</v>
      </c>
      <c r="Z26" s="86">
        <v>6000</v>
      </c>
      <c r="AA26" s="85">
        <v>14.3</v>
      </c>
      <c r="AB26" s="38">
        <v>32</v>
      </c>
      <c r="AC26" s="85">
        <v>5.9</v>
      </c>
      <c r="AD26" s="87">
        <v>16</v>
      </c>
      <c r="AE26" s="88">
        <v>30</v>
      </c>
      <c r="AF26" s="78" t="s">
        <v>489</v>
      </c>
      <c r="AI26" s="9" t="s">
        <v>182</v>
      </c>
      <c r="AJ26" s="9">
        <v>34</v>
      </c>
      <c r="AK26" s="9">
        <v>30</v>
      </c>
      <c r="AL26" s="16">
        <v>86.58</v>
      </c>
      <c r="AM26" s="9">
        <v>38</v>
      </c>
    </row>
    <row r="27" spans="1:39" ht="16.2" x14ac:dyDescent="0.3">
      <c r="A27" s="4" t="s">
        <v>181</v>
      </c>
      <c r="B27" s="49" t="str">
        <f>INDEX($T$2:$AF$137,MATCH($B$26,$T$2:$T$137),2)</f>
        <v>SDE-200A2U</v>
      </c>
      <c r="F27" s="12"/>
      <c r="K27" s="78" t="s">
        <v>310</v>
      </c>
      <c r="L27" s="79">
        <v>99</v>
      </c>
      <c r="M27" s="79">
        <v>20</v>
      </c>
      <c r="N27" s="79"/>
      <c r="O27" s="79">
        <v>94373</v>
      </c>
      <c r="P27" s="79">
        <v>315351</v>
      </c>
      <c r="Q27" s="79"/>
      <c r="R27" s="79">
        <v>260</v>
      </c>
      <c r="S27" s="78" t="s">
        <v>286</v>
      </c>
      <c r="T27" s="89" t="s">
        <v>495</v>
      </c>
      <c r="U27" s="9" t="s">
        <v>494</v>
      </c>
      <c r="V27" s="85">
        <v>2</v>
      </c>
      <c r="W27" s="86">
        <v>3000</v>
      </c>
      <c r="X27" s="85">
        <v>6.4</v>
      </c>
      <c r="Y27" s="85">
        <v>11</v>
      </c>
      <c r="Z27" s="86">
        <v>6000</v>
      </c>
      <c r="AA27" s="85">
        <v>19.100000000000001</v>
      </c>
      <c r="AB27" s="38">
        <v>32</v>
      </c>
      <c r="AC27" s="85">
        <v>7.5</v>
      </c>
      <c r="AD27" s="87">
        <v>16</v>
      </c>
      <c r="AE27" s="88">
        <v>30</v>
      </c>
      <c r="AF27" s="78" t="s">
        <v>489</v>
      </c>
      <c r="AI27" s="9" t="s">
        <v>179</v>
      </c>
      <c r="AJ27" s="9">
        <v>36</v>
      </c>
      <c r="AK27" s="9">
        <v>25</v>
      </c>
      <c r="AL27" s="16">
        <v>91.67</v>
      </c>
      <c r="AM27" s="9">
        <v>33</v>
      </c>
    </row>
    <row r="28" spans="1:39" ht="16.2" x14ac:dyDescent="0.3">
      <c r="A28" s="4" t="s">
        <v>178</v>
      </c>
      <c r="B28" s="45">
        <f>INDEX($T$2:$AF$137,MATCH($B$26,$T$2:$T$137),3)</f>
        <v>2</v>
      </c>
      <c r="C28" s="9" t="s">
        <v>3</v>
      </c>
      <c r="K28" s="78" t="s">
        <v>311</v>
      </c>
      <c r="L28" s="79">
        <v>100</v>
      </c>
      <c r="M28" s="79">
        <v>24</v>
      </c>
      <c r="N28" s="79"/>
      <c r="O28" s="79">
        <v>66919</v>
      </c>
      <c r="P28" s="79">
        <v>186308</v>
      </c>
      <c r="Q28" s="79"/>
      <c r="R28" s="79">
        <v>195</v>
      </c>
      <c r="S28" s="78" t="s">
        <v>286</v>
      </c>
      <c r="T28" s="89" t="s">
        <v>496</v>
      </c>
      <c r="U28" s="9" t="s">
        <v>497</v>
      </c>
      <c r="V28" s="85">
        <v>3.5</v>
      </c>
      <c r="W28" s="86">
        <v>3000</v>
      </c>
      <c r="X28" s="85">
        <v>10.5</v>
      </c>
      <c r="Y28" s="85">
        <v>17</v>
      </c>
      <c r="Z28" s="86">
        <v>6000</v>
      </c>
      <c r="AA28" s="85">
        <v>32</v>
      </c>
      <c r="AB28" s="38">
        <v>51</v>
      </c>
      <c r="AC28" s="85">
        <v>13</v>
      </c>
      <c r="AD28" s="87">
        <v>28</v>
      </c>
      <c r="AE28" s="88">
        <v>50</v>
      </c>
      <c r="AF28" s="78" t="s">
        <v>489</v>
      </c>
      <c r="AI28" s="9" t="s">
        <v>176</v>
      </c>
      <c r="AJ28" s="9">
        <v>36</v>
      </c>
      <c r="AK28" s="9">
        <v>30</v>
      </c>
      <c r="AL28" s="16">
        <v>91.67</v>
      </c>
      <c r="AM28" s="9">
        <v>38</v>
      </c>
    </row>
    <row r="29" spans="1:39" ht="18.600000000000001" x14ac:dyDescent="0.4">
      <c r="A29" s="5" t="s">
        <v>278</v>
      </c>
      <c r="B29" s="16">
        <f>INDEX($T$2:$AF$137,MATCH($B$26,$T$2:$T$137),5)</f>
        <v>9.5500000000000007</v>
      </c>
      <c r="C29" s="9" t="s">
        <v>13</v>
      </c>
      <c r="K29" s="78" t="s">
        <v>312</v>
      </c>
      <c r="L29" s="79">
        <v>120</v>
      </c>
      <c r="M29" s="79">
        <v>24</v>
      </c>
      <c r="N29" s="80"/>
      <c r="O29" s="79">
        <v>93369</v>
      </c>
      <c r="P29" s="79">
        <v>308883</v>
      </c>
      <c r="Q29" s="79"/>
      <c r="R29" s="79">
        <v>240</v>
      </c>
      <c r="S29" s="78" t="s">
        <v>286</v>
      </c>
      <c r="T29" s="89" t="s">
        <v>498</v>
      </c>
      <c r="U29" s="9" t="s">
        <v>499</v>
      </c>
      <c r="V29" s="85">
        <v>5</v>
      </c>
      <c r="W29" s="86">
        <v>3000</v>
      </c>
      <c r="X29" s="85">
        <v>15.9</v>
      </c>
      <c r="Y29" s="85">
        <v>27</v>
      </c>
      <c r="Z29" s="86">
        <v>6000</v>
      </c>
      <c r="AA29" s="85">
        <v>47.7</v>
      </c>
      <c r="AB29" s="38">
        <v>81</v>
      </c>
      <c r="AC29" s="85">
        <v>18</v>
      </c>
      <c r="AD29" s="87">
        <v>28</v>
      </c>
      <c r="AE29" s="88">
        <v>50</v>
      </c>
      <c r="AF29" s="78" t="s">
        <v>489</v>
      </c>
      <c r="AI29" s="9" t="s">
        <v>174</v>
      </c>
      <c r="AJ29" s="9">
        <v>38</v>
      </c>
      <c r="AK29" s="9">
        <v>25</v>
      </c>
      <c r="AL29" s="16">
        <v>96.77</v>
      </c>
      <c r="AM29" s="9">
        <v>33</v>
      </c>
    </row>
    <row r="30" spans="1:39" ht="16.2" x14ac:dyDescent="0.3">
      <c r="A30" s="4" t="s">
        <v>173</v>
      </c>
      <c r="B30" s="16">
        <f>INDEX($T$2:$AF$137,MATCH($B$26,$T$2:$T$137),8)</f>
        <v>28.5</v>
      </c>
      <c r="C30" s="9" t="s">
        <v>13</v>
      </c>
      <c r="E30" s="48"/>
      <c r="K30" s="78" t="s">
        <v>313</v>
      </c>
      <c r="L30" s="79">
        <v>120</v>
      </c>
      <c r="M30" s="79">
        <v>25</v>
      </c>
      <c r="N30" s="80"/>
      <c r="O30" s="79">
        <v>115044</v>
      </c>
      <c r="P30" s="79">
        <v>412038</v>
      </c>
      <c r="Q30" s="79"/>
      <c r="R30" s="79">
        <v>280</v>
      </c>
      <c r="S30" s="78" t="s">
        <v>286</v>
      </c>
      <c r="T30" s="89" t="s">
        <v>500</v>
      </c>
      <c r="U30" s="9" t="s">
        <v>501</v>
      </c>
      <c r="V30" s="85">
        <v>0.5</v>
      </c>
      <c r="W30" s="86">
        <v>3000</v>
      </c>
      <c r="X30" s="85">
        <v>1.6</v>
      </c>
      <c r="Y30" s="85">
        <v>3</v>
      </c>
      <c r="Z30" s="86">
        <v>6000</v>
      </c>
      <c r="AA30" s="85">
        <v>4.8</v>
      </c>
      <c r="AB30" s="38">
        <v>9</v>
      </c>
      <c r="AC30" s="85">
        <v>3</v>
      </c>
      <c r="AD30" s="87">
        <v>16</v>
      </c>
      <c r="AE30" s="88">
        <v>30</v>
      </c>
      <c r="AF30" s="78" t="s">
        <v>489</v>
      </c>
      <c r="AI30" s="9" t="s">
        <v>171</v>
      </c>
      <c r="AJ30" s="9">
        <v>38</v>
      </c>
      <c r="AK30" s="9">
        <v>30</v>
      </c>
      <c r="AL30" s="16">
        <v>96.77</v>
      </c>
      <c r="AM30" s="9">
        <v>38</v>
      </c>
    </row>
    <row r="31" spans="1:39" ht="18.600000000000001" x14ac:dyDescent="0.4">
      <c r="A31" s="5" t="s">
        <v>277</v>
      </c>
      <c r="B31" s="15">
        <f>INDEX($T$2:$AF$137,MATCH($B$26,$T$2:$T$137),4)</f>
        <v>2000</v>
      </c>
      <c r="C31" s="9" t="s">
        <v>15</v>
      </c>
      <c r="E31" s="48"/>
      <c r="K31" s="78" t="s">
        <v>314</v>
      </c>
      <c r="L31" s="79">
        <v>150</v>
      </c>
      <c r="M31" s="79">
        <v>25</v>
      </c>
      <c r="N31" s="80"/>
      <c r="O31" s="79">
        <v>162911</v>
      </c>
      <c r="P31" s="79">
        <v>695515</v>
      </c>
      <c r="Q31" s="79"/>
      <c r="R31" s="79">
        <v>400</v>
      </c>
      <c r="S31" s="78" t="s">
        <v>286</v>
      </c>
      <c r="T31" s="89" t="s">
        <v>502</v>
      </c>
      <c r="U31" s="9" t="s">
        <v>503</v>
      </c>
      <c r="V31" s="85">
        <v>7</v>
      </c>
      <c r="W31" s="86">
        <v>3000</v>
      </c>
      <c r="X31" s="85">
        <v>22.3</v>
      </c>
      <c r="Y31" s="85">
        <v>34</v>
      </c>
      <c r="Z31" s="86">
        <v>6000</v>
      </c>
      <c r="AA31" s="85">
        <v>66.8</v>
      </c>
      <c r="AB31" s="38">
        <v>103</v>
      </c>
      <c r="AC31" s="85">
        <v>29</v>
      </c>
      <c r="AD31" s="87">
        <v>35</v>
      </c>
      <c r="AE31" s="88">
        <v>75</v>
      </c>
      <c r="AF31" s="78" t="s">
        <v>489</v>
      </c>
      <c r="AI31" s="9" t="s">
        <v>170</v>
      </c>
      <c r="AJ31" s="9">
        <v>40</v>
      </c>
      <c r="AK31" s="9">
        <v>25</v>
      </c>
      <c r="AL31" s="16">
        <v>101.86</v>
      </c>
      <c r="AM31" s="9">
        <v>33</v>
      </c>
    </row>
    <row r="32" spans="1:39" ht="16.2" x14ac:dyDescent="0.3">
      <c r="A32" s="4" t="s">
        <v>169</v>
      </c>
      <c r="B32" s="15">
        <f>INDEX($T$2:$AF$137,MATCH($B$26,$T$2:$T$137),7)</f>
        <v>3500</v>
      </c>
      <c r="C32" s="9" t="s">
        <v>15</v>
      </c>
      <c r="E32" s="48"/>
      <c r="K32" s="78" t="s">
        <v>315</v>
      </c>
      <c r="L32" s="79">
        <v>150</v>
      </c>
      <c r="M32" s="79">
        <v>36</v>
      </c>
      <c r="N32" s="80"/>
      <c r="O32" s="79">
        <v>118053</v>
      </c>
      <c r="P32" s="79">
        <v>419193</v>
      </c>
      <c r="Q32" s="79"/>
      <c r="R32" s="79">
        <v>305</v>
      </c>
      <c r="S32" s="78" t="s">
        <v>286</v>
      </c>
      <c r="T32" s="89" t="s">
        <v>504</v>
      </c>
      <c r="U32" s="9" t="s">
        <v>505</v>
      </c>
      <c r="V32" s="85">
        <v>0.75</v>
      </c>
      <c r="W32" s="86">
        <v>3000</v>
      </c>
      <c r="X32" s="85">
        <v>2.4</v>
      </c>
      <c r="Y32" s="85">
        <v>5.6</v>
      </c>
      <c r="Z32" s="86">
        <v>6000</v>
      </c>
      <c r="AA32" s="85">
        <v>7.2</v>
      </c>
      <c r="AB32" s="38">
        <v>17</v>
      </c>
      <c r="AC32" s="85">
        <v>3.7</v>
      </c>
      <c r="AD32" s="87">
        <v>16</v>
      </c>
      <c r="AE32" s="88">
        <v>30</v>
      </c>
      <c r="AF32" s="78" t="s">
        <v>489</v>
      </c>
      <c r="AI32" s="9" t="s">
        <v>167</v>
      </c>
      <c r="AJ32" s="9">
        <v>40</v>
      </c>
      <c r="AK32" s="9">
        <v>30</v>
      </c>
      <c r="AL32" s="16">
        <v>101.86</v>
      </c>
      <c r="AM32" s="9">
        <v>38</v>
      </c>
    </row>
    <row r="33" spans="1:39" ht="16.2" x14ac:dyDescent="0.3">
      <c r="A33" s="4" t="s">
        <v>166</v>
      </c>
      <c r="B33" s="45">
        <f>INDEX($T$2:$AF$137,MATCH($B$26,$T$2:$T$137),6)</f>
        <v>11</v>
      </c>
      <c r="C33" s="9" t="s">
        <v>163</v>
      </c>
      <c r="K33" s="78" t="s">
        <v>316</v>
      </c>
      <c r="L33" s="79">
        <v>180</v>
      </c>
      <c r="M33" s="79">
        <v>30</v>
      </c>
      <c r="N33" s="80"/>
      <c r="O33" s="79">
        <v>200239</v>
      </c>
      <c r="P33" s="79">
        <v>925410</v>
      </c>
      <c r="Q33" s="79"/>
      <c r="R33" s="79">
        <v>515</v>
      </c>
      <c r="S33" s="78" t="s">
        <v>286</v>
      </c>
      <c r="T33" s="89" t="s">
        <v>506</v>
      </c>
      <c r="U33" s="9" t="s">
        <v>507</v>
      </c>
      <c r="V33" s="85">
        <v>9</v>
      </c>
      <c r="W33" s="86">
        <v>3000</v>
      </c>
      <c r="X33" s="85">
        <v>28.6</v>
      </c>
      <c r="Y33" s="85">
        <v>41</v>
      </c>
      <c r="Z33" s="86">
        <v>6000</v>
      </c>
      <c r="AA33" s="85">
        <v>85.8</v>
      </c>
      <c r="AB33" s="38">
        <v>134</v>
      </c>
      <c r="AC33" s="85">
        <v>36</v>
      </c>
      <c r="AD33" s="87">
        <v>35</v>
      </c>
      <c r="AE33" s="88">
        <v>75</v>
      </c>
      <c r="AF33" s="78" t="s">
        <v>489</v>
      </c>
      <c r="AI33" s="9" t="s">
        <v>165</v>
      </c>
      <c r="AJ33" s="9">
        <v>44</v>
      </c>
      <c r="AK33" s="9">
        <v>25</v>
      </c>
      <c r="AL33" s="16">
        <v>112.05</v>
      </c>
      <c r="AM33" s="9">
        <v>33</v>
      </c>
    </row>
    <row r="34" spans="1:39" ht="16.2" x14ac:dyDescent="0.3">
      <c r="A34" s="4" t="s">
        <v>164</v>
      </c>
      <c r="B34" s="45">
        <f>INDEX($T$2:$AF$137,MATCH($B$26,$T$2:$T$137),9)</f>
        <v>33</v>
      </c>
      <c r="C34" s="9" t="s">
        <v>163</v>
      </c>
      <c r="K34" s="78" t="s">
        <v>317</v>
      </c>
      <c r="L34" s="79">
        <v>210</v>
      </c>
      <c r="M34" s="79">
        <v>30</v>
      </c>
      <c r="N34" s="80"/>
      <c r="O34" s="79">
        <v>234245</v>
      </c>
      <c r="P34" s="79">
        <v>1160741</v>
      </c>
      <c r="Q34" s="79"/>
      <c r="R34" s="79">
        <v>550</v>
      </c>
      <c r="S34" s="78" t="s">
        <v>286</v>
      </c>
      <c r="T34" s="89" t="s">
        <v>508</v>
      </c>
      <c r="U34" s="9" t="s">
        <v>207</v>
      </c>
      <c r="V34" s="85">
        <v>0.4</v>
      </c>
      <c r="W34" s="86">
        <v>3000</v>
      </c>
      <c r="X34" s="85">
        <v>1.3</v>
      </c>
      <c r="Y34" s="85">
        <v>2.6</v>
      </c>
      <c r="Z34" s="86">
        <v>5000</v>
      </c>
      <c r="AA34" s="85">
        <v>3.8</v>
      </c>
      <c r="AB34" s="38">
        <v>7.8</v>
      </c>
      <c r="AC34" s="85">
        <v>1.9</v>
      </c>
      <c r="AD34" s="87">
        <v>14</v>
      </c>
      <c r="AE34" s="88">
        <v>26</v>
      </c>
      <c r="AF34" s="78" t="s">
        <v>489</v>
      </c>
      <c r="AI34" s="9" t="s">
        <v>162</v>
      </c>
      <c r="AJ34" s="9">
        <v>44</v>
      </c>
      <c r="AK34" s="9">
        <v>30</v>
      </c>
      <c r="AL34" s="16">
        <v>112.05</v>
      </c>
      <c r="AM34" s="9">
        <v>38</v>
      </c>
    </row>
    <row r="35" spans="1:39" ht="16.2" x14ac:dyDescent="0.3">
      <c r="A35" s="4" t="s">
        <v>161</v>
      </c>
      <c r="B35" s="90">
        <f>INDEX($T$2:$AF$137,MATCH($B$26,$T$2:$T$137),10)</f>
        <v>9.9</v>
      </c>
      <c r="C35" s="9" t="s">
        <v>18</v>
      </c>
      <c r="K35" s="78" t="s">
        <v>323</v>
      </c>
      <c r="L35" s="79">
        <v>50</v>
      </c>
      <c r="M35" s="79">
        <v>20</v>
      </c>
      <c r="N35" s="80">
        <v>6.35</v>
      </c>
      <c r="O35" s="79">
        <v>4560</v>
      </c>
      <c r="P35" s="79">
        <v>13230</v>
      </c>
      <c r="Q35" s="79">
        <v>149</v>
      </c>
      <c r="R35" s="79">
        <v>155</v>
      </c>
      <c r="S35" s="78" t="s">
        <v>43</v>
      </c>
      <c r="T35" s="89" t="s">
        <v>509</v>
      </c>
      <c r="U35" s="9" t="s">
        <v>510</v>
      </c>
      <c r="V35" s="85">
        <v>0.05</v>
      </c>
      <c r="W35" s="86">
        <v>3000</v>
      </c>
      <c r="X35" s="88">
        <v>0.16</v>
      </c>
      <c r="Y35" s="85">
        <v>0.9</v>
      </c>
      <c r="Z35" s="86">
        <v>6900</v>
      </c>
      <c r="AA35" s="88">
        <v>0.56000000000000005</v>
      </c>
      <c r="AB35" s="38">
        <v>3.2</v>
      </c>
      <c r="AC35" s="85">
        <v>0.54</v>
      </c>
      <c r="AD35" s="87">
        <v>8</v>
      </c>
      <c r="AE35" s="88">
        <v>21.5</v>
      </c>
      <c r="AF35" s="78" t="s">
        <v>489</v>
      </c>
      <c r="AI35" s="9" t="s">
        <v>159</v>
      </c>
      <c r="AJ35" s="9">
        <v>48</v>
      </c>
      <c r="AK35" s="9">
        <v>15</v>
      </c>
      <c r="AL35" s="16">
        <v>45.84</v>
      </c>
      <c r="AM35" s="9">
        <v>21</v>
      </c>
    </row>
    <row r="36" spans="1:39" ht="16.2" x14ac:dyDescent="0.3">
      <c r="A36" s="4" t="s">
        <v>24</v>
      </c>
      <c r="B36" s="90">
        <f>INDEX($T$2:$AF$137,MATCH($B$26,$T$2:$T$137),11)</f>
        <v>24</v>
      </c>
      <c r="C36" s="9" t="s">
        <v>19</v>
      </c>
      <c r="K36" s="78" t="s">
        <v>324</v>
      </c>
      <c r="L36" s="79">
        <v>50</v>
      </c>
      <c r="M36" s="79">
        <v>20</v>
      </c>
      <c r="N36" s="80">
        <v>6.35</v>
      </c>
      <c r="O36" s="79">
        <v>5580</v>
      </c>
      <c r="P36" s="79">
        <v>16710</v>
      </c>
      <c r="Q36" s="79">
        <v>185</v>
      </c>
      <c r="R36" s="79">
        <v>175</v>
      </c>
      <c r="S36" s="78" t="s">
        <v>43</v>
      </c>
      <c r="T36" s="89" t="s">
        <v>511</v>
      </c>
      <c r="U36" s="9" t="s">
        <v>510</v>
      </c>
      <c r="V36" s="85">
        <v>0.1</v>
      </c>
      <c r="W36" s="86">
        <v>3000</v>
      </c>
      <c r="X36" s="88">
        <v>0.32</v>
      </c>
      <c r="Y36" s="85">
        <v>0.7</v>
      </c>
      <c r="Z36" s="86">
        <v>6900</v>
      </c>
      <c r="AA36" s="88">
        <v>1.1000000000000001</v>
      </c>
      <c r="AB36" s="38">
        <v>2.5</v>
      </c>
      <c r="AC36" s="85">
        <v>0.74</v>
      </c>
      <c r="AD36" s="87">
        <v>8</v>
      </c>
      <c r="AE36" s="88">
        <v>21.5</v>
      </c>
      <c r="AF36" s="78" t="s">
        <v>489</v>
      </c>
      <c r="AI36" s="9" t="s">
        <v>157</v>
      </c>
      <c r="AJ36" s="9">
        <v>48</v>
      </c>
      <c r="AK36" s="9">
        <v>25</v>
      </c>
      <c r="AL36" s="16">
        <v>122.23</v>
      </c>
      <c r="AM36" s="9">
        <v>33</v>
      </c>
    </row>
    <row r="37" spans="1:39" ht="16.2" x14ac:dyDescent="0.3">
      <c r="A37" s="4" t="s">
        <v>23</v>
      </c>
      <c r="B37" s="90">
        <f>INDEX($T$2:$AF$137,MATCH($B$26,$T$2:$T$137),12)</f>
        <v>50</v>
      </c>
      <c r="C37" s="9" t="s">
        <v>19</v>
      </c>
      <c r="K37" s="78" t="s">
        <v>325</v>
      </c>
      <c r="L37" s="79">
        <v>16</v>
      </c>
      <c r="M37" s="79">
        <v>10</v>
      </c>
      <c r="N37" s="80">
        <v>3</v>
      </c>
      <c r="O37" s="79">
        <v>1172</v>
      </c>
      <c r="P37" s="79">
        <v>1255</v>
      </c>
      <c r="Q37" s="79"/>
      <c r="R37" s="79">
        <v>45</v>
      </c>
      <c r="S37" s="78" t="s">
        <v>318</v>
      </c>
      <c r="T37" s="89" t="s">
        <v>512</v>
      </c>
      <c r="U37" s="9" t="s">
        <v>513</v>
      </c>
      <c r="V37" s="85">
        <v>0.2</v>
      </c>
      <c r="W37" s="86">
        <v>3000</v>
      </c>
      <c r="X37" s="88">
        <v>0.64</v>
      </c>
      <c r="Y37" s="85">
        <v>1.3</v>
      </c>
      <c r="Z37" s="86">
        <v>6900</v>
      </c>
      <c r="AA37" s="88">
        <v>2.2000000000000002</v>
      </c>
      <c r="AB37" s="38">
        <v>4.5999999999999996</v>
      </c>
      <c r="AC37" s="85">
        <v>1.3</v>
      </c>
      <c r="AD37" s="87">
        <v>14</v>
      </c>
      <c r="AE37" s="88">
        <v>26</v>
      </c>
      <c r="AF37" s="78" t="s">
        <v>489</v>
      </c>
      <c r="AI37" s="9" t="s">
        <v>155</v>
      </c>
      <c r="AJ37" s="9">
        <v>48</v>
      </c>
      <c r="AK37" s="9">
        <v>30</v>
      </c>
      <c r="AL37" s="16">
        <v>122.23</v>
      </c>
      <c r="AM37" s="9">
        <v>38</v>
      </c>
    </row>
    <row r="38" spans="1:39" x14ac:dyDescent="0.3">
      <c r="K38" s="78" t="s">
        <v>326</v>
      </c>
      <c r="L38" s="79">
        <v>16</v>
      </c>
      <c r="M38" s="79">
        <v>16</v>
      </c>
      <c r="N38" s="80">
        <v>3</v>
      </c>
      <c r="O38" s="79">
        <v>1143</v>
      </c>
      <c r="P38" s="79">
        <v>1224</v>
      </c>
      <c r="Q38" s="79"/>
      <c r="R38" s="79">
        <v>61</v>
      </c>
      <c r="S38" s="78" t="s">
        <v>318</v>
      </c>
      <c r="T38" s="89" t="s">
        <v>514</v>
      </c>
      <c r="U38" s="9" t="s">
        <v>515</v>
      </c>
      <c r="V38" s="85">
        <v>0.4</v>
      </c>
      <c r="W38" s="86">
        <v>3000</v>
      </c>
      <c r="X38" s="88">
        <v>1.3</v>
      </c>
      <c r="Y38" s="85">
        <v>2.6</v>
      </c>
      <c r="Z38" s="86">
        <v>6900</v>
      </c>
      <c r="AA38" s="88">
        <v>4.5</v>
      </c>
      <c r="AB38" s="38">
        <v>9.1</v>
      </c>
      <c r="AC38" s="85">
        <v>1.8</v>
      </c>
      <c r="AD38" s="87">
        <v>14</v>
      </c>
      <c r="AE38" s="88">
        <v>26</v>
      </c>
      <c r="AF38" s="78" t="s">
        <v>489</v>
      </c>
      <c r="AI38" s="9" t="s">
        <v>153</v>
      </c>
      <c r="AJ38" s="9">
        <v>50</v>
      </c>
      <c r="AK38" s="9">
        <v>25</v>
      </c>
      <c r="AL38" s="16">
        <v>127.32</v>
      </c>
      <c r="AM38" s="9">
        <v>33</v>
      </c>
    </row>
    <row r="39" spans="1:39" ht="16.2" x14ac:dyDescent="0.3">
      <c r="A39" s="47" t="s">
        <v>152</v>
      </c>
      <c r="B39" s="46" t="s">
        <v>284</v>
      </c>
      <c r="K39" s="78" t="s">
        <v>327</v>
      </c>
      <c r="L39" s="79">
        <v>20</v>
      </c>
      <c r="M39" s="79">
        <v>5</v>
      </c>
      <c r="N39" s="80">
        <v>3</v>
      </c>
      <c r="O39" s="79">
        <v>1755</v>
      </c>
      <c r="P39" s="79">
        <v>2194</v>
      </c>
      <c r="Q39" s="79"/>
      <c r="R39" s="79">
        <v>40</v>
      </c>
      <c r="S39" s="78" t="s">
        <v>318</v>
      </c>
      <c r="T39" s="89" t="s">
        <v>516</v>
      </c>
      <c r="U39" s="9" t="s">
        <v>505</v>
      </c>
      <c r="V39" s="85">
        <v>0.75</v>
      </c>
      <c r="W39" s="86">
        <v>3000</v>
      </c>
      <c r="X39" s="88">
        <v>2.4</v>
      </c>
      <c r="Y39" s="85">
        <v>4.9000000000000004</v>
      </c>
      <c r="Z39" s="86">
        <v>6900</v>
      </c>
      <c r="AA39" s="88">
        <v>8.4</v>
      </c>
      <c r="AB39" s="38">
        <v>17.2</v>
      </c>
      <c r="AC39" s="85">
        <v>3.8</v>
      </c>
      <c r="AD39" s="87">
        <v>19</v>
      </c>
      <c r="AE39" s="88">
        <v>36</v>
      </c>
      <c r="AF39" s="78" t="s">
        <v>489</v>
      </c>
      <c r="AI39" s="9" t="s">
        <v>150</v>
      </c>
      <c r="AJ39" s="9">
        <v>50</v>
      </c>
      <c r="AK39" s="9">
        <v>30</v>
      </c>
      <c r="AL39" s="16">
        <v>127.32</v>
      </c>
      <c r="AM39" s="9">
        <v>38</v>
      </c>
    </row>
    <row r="40" spans="1:39" ht="18.600000000000001" x14ac:dyDescent="0.3">
      <c r="A40" s="4" t="s">
        <v>5</v>
      </c>
      <c r="B40" s="15">
        <f>INDEX($AI$2:$AM$54,MATCH($B$39,$AI$2:$AI$54),2)</f>
        <v>32</v>
      </c>
      <c r="K40" s="78" t="s">
        <v>328</v>
      </c>
      <c r="L40" s="79">
        <v>20</v>
      </c>
      <c r="M40" s="79">
        <v>10</v>
      </c>
      <c r="N40" s="80">
        <v>3</v>
      </c>
      <c r="O40" s="79">
        <v>1724</v>
      </c>
      <c r="P40" s="79">
        <v>2173</v>
      </c>
      <c r="Q40" s="79"/>
      <c r="R40" s="79">
        <v>60</v>
      </c>
      <c r="S40" s="78" t="s">
        <v>318</v>
      </c>
      <c r="T40" s="89" t="s">
        <v>517</v>
      </c>
      <c r="U40" s="9" t="s">
        <v>510</v>
      </c>
      <c r="V40" s="85">
        <v>0.05</v>
      </c>
      <c r="W40" s="86">
        <v>3000</v>
      </c>
      <c r="X40" s="88">
        <v>0.16</v>
      </c>
      <c r="Y40" s="85">
        <v>1</v>
      </c>
      <c r="Z40" s="86">
        <v>6900</v>
      </c>
      <c r="AA40" s="88">
        <v>0.48</v>
      </c>
      <c r="AB40" s="38">
        <v>3.1</v>
      </c>
      <c r="AC40" s="85">
        <v>0.54</v>
      </c>
      <c r="AD40" s="87">
        <v>8</v>
      </c>
      <c r="AE40" s="88">
        <v>21.5</v>
      </c>
      <c r="AF40" s="78" t="s">
        <v>489</v>
      </c>
      <c r="AI40" s="9" t="s">
        <v>148</v>
      </c>
      <c r="AJ40" s="9">
        <v>60</v>
      </c>
      <c r="AK40" s="9">
        <v>25</v>
      </c>
      <c r="AL40" s="16">
        <v>152.79</v>
      </c>
      <c r="AM40" s="9">
        <v>33</v>
      </c>
    </row>
    <row r="41" spans="1:39" ht="16.2" x14ac:dyDescent="0.3">
      <c r="A41" s="4" t="s">
        <v>132</v>
      </c>
      <c r="B41" s="15">
        <f>INDEX($AI$2:$AM$54,MATCH($B$39,$AI$2:$AI$54),3)</f>
        <v>25</v>
      </c>
      <c r="K41" s="78" t="s">
        <v>329</v>
      </c>
      <c r="L41" s="79">
        <v>20</v>
      </c>
      <c r="M41" s="79">
        <v>20</v>
      </c>
      <c r="N41" s="80">
        <v>3.5</v>
      </c>
      <c r="O41" s="79">
        <v>1633</v>
      </c>
      <c r="P41" s="79">
        <v>1918</v>
      </c>
      <c r="Q41" s="79"/>
      <c r="R41" s="79">
        <v>57</v>
      </c>
      <c r="S41" s="78" t="s">
        <v>318</v>
      </c>
      <c r="T41" s="89" t="s">
        <v>518</v>
      </c>
      <c r="U41" s="9" t="s">
        <v>510</v>
      </c>
      <c r="V41" s="85">
        <v>0.1</v>
      </c>
      <c r="W41" s="86">
        <v>3000</v>
      </c>
      <c r="X41" s="88">
        <v>0.32</v>
      </c>
      <c r="Y41" s="85">
        <v>0.8</v>
      </c>
      <c r="Z41" s="86">
        <v>6900</v>
      </c>
      <c r="AA41" s="88">
        <v>0.95</v>
      </c>
      <c r="AB41" s="38">
        <v>2.5</v>
      </c>
      <c r="AC41" s="85">
        <v>0.74</v>
      </c>
      <c r="AD41" s="87">
        <v>8</v>
      </c>
      <c r="AE41" s="88">
        <v>21.5</v>
      </c>
      <c r="AF41" s="78" t="s">
        <v>489</v>
      </c>
      <c r="AI41" s="9" t="s">
        <v>146</v>
      </c>
      <c r="AJ41" s="9">
        <v>60</v>
      </c>
      <c r="AK41" s="9">
        <v>30</v>
      </c>
      <c r="AL41" s="16">
        <v>152.79</v>
      </c>
      <c r="AM41" s="9">
        <v>38</v>
      </c>
    </row>
    <row r="42" spans="1:39" ht="16.2" x14ac:dyDescent="0.3">
      <c r="A42" s="4" t="s">
        <v>145</v>
      </c>
      <c r="B42" s="16">
        <f>INDEX($AI$2:$AM$54,MATCH($B$39,$AI$2:$AI$54),4)</f>
        <v>81.489999999999995</v>
      </c>
      <c r="C42" s="9" t="s">
        <v>19</v>
      </c>
      <c r="K42" s="78" t="s">
        <v>330</v>
      </c>
      <c r="L42" s="79">
        <v>25</v>
      </c>
      <c r="M42" s="79">
        <v>5</v>
      </c>
      <c r="N42" s="80">
        <v>3</v>
      </c>
      <c r="O42" s="79">
        <v>1949</v>
      </c>
      <c r="P42" s="79">
        <v>2776</v>
      </c>
      <c r="Q42" s="79"/>
      <c r="R42" s="79">
        <v>45</v>
      </c>
      <c r="S42" s="78" t="s">
        <v>318</v>
      </c>
      <c r="T42" s="89" t="s">
        <v>519</v>
      </c>
      <c r="U42" s="9" t="s">
        <v>513</v>
      </c>
      <c r="V42" s="85">
        <v>0.2</v>
      </c>
      <c r="W42" s="86">
        <v>3000</v>
      </c>
      <c r="X42" s="88">
        <v>0.64</v>
      </c>
      <c r="Y42" s="85">
        <v>1.4</v>
      </c>
      <c r="Z42" s="86">
        <v>6900</v>
      </c>
      <c r="AA42" s="88">
        <v>1.9</v>
      </c>
      <c r="AB42" s="38">
        <v>5.3</v>
      </c>
      <c r="AC42" s="85">
        <v>1.3</v>
      </c>
      <c r="AD42" s="87">
        <v>14</v>
      </c>
      <c r="AE42" s="88">
        <v>26</v>
      </c>
      <c r="AF42" s="78" t="s">
        <v>489</v>
      </c>
      <c r="AI42" s="9" t="s">
        <v>143</v>
      </c>
      <c r="AJ42" s="9">
        <v>24</v>
      </c>
      <c r="AK42" s="9">
        <v>33</v>
      </c>
      <c r="AL42" s="9">
        <v>61.12</v>
      </c>
      <c r="AM42" s="9">
        <v>33</v>
      </c>
    </row>
    <row r="43" spans="1:39" ht="16.2" x14ac:dyDescent="0.3">
      <c r="A43" s="4" t="s">
        <v>142</v>
      </c>
      <c r="B43" s="15">
        <f>INDEX($AI$2:$AM$54,MATCH($B$39,$AI$2:$AI$54),5)</f>
        <v>33</v>
      </c>
      <c r="C43" s="9" t="s">
        <v>19</v>
      </c>
      <c r="K43" s="78" t="s">
        <v>331</v>
      </c>
      <c r="L43" s="79">
        <v>25</v>
      </c>
      <c r="M43" s="79">
        <v>10</v>
      </c>
      <c r="N43" s="80">
        <v>3</v>
      </c>
      <c r="O43" s="79">
        <v>1918</v>
      </c>
      <c r="P43" s="79">
        <v>2755</v>
      </c>
      <c r="Q43" s="79"/>
      <c r="R43" s="79">
        <v>64</v>
      </c>
      <c r="S43" s="78" t="s">
        <v>318</v>
      </c>
      <c r="T43" s="89" t="s">
        <v>520</v>
      </c>
      <c r="U43" s="9" t="s">
        <v>515</v>
      </c>
      <c r="V43" s="85">
        <v>0.4</v>
      </c>
      <c r="W43" s="86">
        <v>3000</v>
      </c>
      <c r="X43" s="88">
        <v>1.3</v>
      </c>
      <c r="Y43" s="85">
        <v>2.6</v>
      </c>
      <c r="Z43" s="86">
        <v>6900</v>
      </c>
      <c r="AA43" s="88">
        <v>3.8</v>
      </c>
      <c r="AB43" s="38">
        <v>9</v>
      </c>
      <c r="AC43" s="85">
        <v>1.8</v>
      </c>
      <c r="AD43" s="87">
        <v>14</v>
      </c>
      <c r="AE43" s="88">
        <v>26</v>
      </c>
      <c r="AF43" s="78" t="s">
        <v>489</v>
      </c>
      <c r="AI43" s="9" t="s">
        <v>140</v>
      </c>
      <c r="AJ43" s="9">
        <v>30</v>
      </c>
      <c r="AK43" s="9">
        <v>32</v>
      </c>
      <c r="AL43" s="9">
        <v>75.010000000000005</v>
      </c>
      <c r="AM43" s="9">
        <v>33</v>
      </c>
    </row>
    <row r="44" spans="1:39" ht="16.2" x14ac:dyDescent="0.3">
      <c r="A44" s="4"/>
      <c r="B44" s="12"/>
      <c r="K44" s="78" t="s">
        <v>332</v>
      </c>
      <c r="L44" s="79">
        <v>25</v>
      </c>
      <c r="M44" s="79">
        <v>10</v>
      </c>
      <c r="N44" s="80">
        <v>3.5</v>
      </c>
      <c r="O44" s="79">
        <v>1235</v>
      </c>
      <c r="P44" s="79">
        <v>1541</v>
      </c>
      <c r="Q44" s="79"/>
      <c r="R44" s="79">
        <v>70</v>
      </c>
      <c r="S44" s="78" t="s">
        <v>318</v>
      </c>
      <c r="T44" s="89" t="s">
        <v>521</v>
      </c>
      <c r="U44" s="9" t="s">
        <v>505</v>
      </c>
      <c r="V44" s="85">
        <v>0.75</v>
      </c>
      <c r="W44" s="86">
        <v>3000</v>
      </c>
      <c r="X44" s="88">
        <v>2.4</v>
      </c>
      <c r="Y44" s="85">
        <v>6</v>
      </c>
      <c r="Z44" s="86">
        <v>6900</v>
      </c>
      <c r="AA44" s="88">
        <v>7.2</v>
      </c>
      <c r="AB44" s="38">
        <v>20</v>
      </c>
      <c r="AC44" s="85">
        <v>3.8</v>
      </c>
      <c r="AD44" s="87">
        <v>19</v>
      </c>
      <c r="AE44" s="88">
        <v>36</v>
      </c>
      <c r="AF44" s="78" t="s">
        <v>489</v>
      </c>
      <c r="AI44" s="9" t="s">
        <v>138</v>
      </c>
      <c r="AJ44" s="9">
        <v>48</v>
      </c>
      <c r="AK44" s="9">
        <v>33</v>
      </c>
      <c r="AL44" s="9">
        <v>122.23</v>
      </c>
      <c r="AM44" s="9">
        <v>33</v>
      </c>
    </row>
    <row r="45" spans="1:39" ht="16.2" x14ac:dyDescent="0.3">
      <c r="A45" s="47" t="s">
        <v>137</v>
      </c>
      <c r="B45" s="46" t="s">
        <v>285</v>
      </c>
      <c r="K45" s="78" t="s">
        <v>333</v>
      </c>
      <c r="L45" s="79">
        <v>32</v>
      </c>
      <c r="M45" s="79">
        <v>5</v>
      </c>
      <c r="N45" s="80">
        <v>3.5</v>
      </c>
      <c r="O45" s="79">
        <v>2643</v>
      </c>
      <c r="P45" s="79">
        <v>4082</v>
      </c>
      <c r="Q45" s="79"/>
      <c r="R45" s="79">
        <v>48</v>
      </c>
      <c r="S45" s="78" t="s">
        <v>318</v>
      </c>
      <c r="T45" s="89" t="s">
        <v>522</v>
      </c>
      <c r="U45" s="9" t="s">
        <v>492</v>
      </c>
      <c r="V45" s="85">
        <v>1</v>
      </c>
      <c r="W45" s="86">
        <v>2000</v>
      </c>
      <c r="X45" s="88">
        <v>4.8</v>
      </c>
      <c r="Y45" s="85">
        <v>5.6</v>
      </c>
      <c r="Z45" s="86">
        <v>3000</v>
      </c>
      <c r="AA45" s="88">
        <v>14.3</v>
      </c>
      <c r="AB45" s="38">
        <v>17</v>
      </c>
      <c r="AC45" s="85">
        <v>6.2</v>
      </c>
      <c r="AD45" s="87">
        <v>24</v>
      </c>
      <c r="AE45" s="88">
        <v>50</v>
      </c>
      <c r="AF45" s="78" t="s">
        <v>489</v>
      </c>
      <c r="AI45" s="9" t="s">
        <v>135</v>
      </c>
      <c r="AJ45" s="9">
        <v>60</v>
      </c>
      <c r="AK45" s="9">
        <v>32</v>
      </c>
      <c r="AL45" s="9">
        <v>151.41</v>
      </c>
      <c r="AM45" s="9">
        <v>33</v>
      </c>
    </row>
    <row r="46" spans="1:39" ht="18.600000000000001" x14ac:dyDescent="0.3">
      <c r="A46" s="4" t="s">
        <v>6</v>
      </c>
      <c r="B46" s="12">
        <f>INDEX($AI$2:$AM$54,MATCH($B$45,$AI$2:$AI$54),2)</f>
        <v>48</v>
      </c>
      <c r="K46" s="78" t="s">
        <v>334</v>
      </c>
      <c r="L46" s="79">
        <v>32</v>
      </c>
      <c r="M46" s="79">
        <v>10</v>
      </c>
      <c r="N46" s="80">
        <v>3.9689999999999999</v>
      </c>
      <c r="O46" s="79">
        <v>3878</v>
      </c>
      <c r="P46" s="79">
        <v>5949</v>
      </c>
      <c r="Q46" s="79"/>
      <c r="R46" s="79">
        <v>77</v>
      </c>
      <c r="S46" s="78" t="s">
        <v>318</v>
      </c>
      <c r="T46" s="89" t="s">
        <v>523</v>
      </c>
      <c r="U46" s="9" t="s">
        <v>494</v>
      </c>
      <c r="V46" s="85">
        <v>1.2</v>
      </c>
      <c r="W46" s="86">
        <v>1000</v>
      </c>
      <c r="X46" s="88">
        <v>11.5</v>
      </c>
      <c r="Y46" s="85">
        <v>7.1</v>
      </c>
      <c r="Z46" s="86">
        <v>1500</v>
      </c>
      <c r="AA46" s="88">
        <v>34.4</v>
      </c>
      <c r="AB46" s="38">
        <v>22.7</v>
      </c>
      <c r="AC46" s="85">
        <v>17</v>
      </c>
      <c r="AD46" s="87">
        <v>35</v>
      </c>
      <c r="AE46" s="88">
        <v>75</v>
      </c>
      <c r="AF46" s="78" t="s">
        <v>489</v>
      </c>
      <c r="AI46" s="9" t="s">
        <v>133</v>
      </c>
      <c r="AJ46" s="9">
        <v>30</v>
      </c>
      <c r="AK46" s="9">
        <v>16</v>
      </c>
      <c r="AL46" s="9">
        <v>76.400000000000006</v>
      </c>
      <c r="AM46" s="9">
        <v>33</v>
      </c>
    </row>
    <row r="47" spans="1:39" ht="16.2" x14ac:dyDescent="0.3">
      <c r="A47" s="4" t="s">
        <v>132</v>
      </c>
      <c r="B47" s="12">
        <f>INDEX($AI$2:$AM$54,MATCH($B$45,$AI$2:$AI$54),3)</f>
        <v>25</v>
      </c>
      <c r="K47" s="78" t="s">
        <v>335</v>
      </c>
      <c r="L47" s="79">
        <v>32</v>
      </c>
      <c r="M47" s="79">
        <v>20</v>
      </c>
      <c r="N47" s="80">
        <v>3.9689999999999999</v>
      </c>
      <c r="O47" s="79">
        <v>1653</v>
      </c>
      <c r="P47" s="79">
        <v>2224</v>
      </c>
      <c r="Q47" s="79"/>
      <c r="R47" s="79">
        <v>64</v>
      </c>
      <c r="S47" s="78" t="s">
        <v>318</v>
      </c>
      <c r="T47" s="89" t="s">
        <v>524</v>
      </c>
      <c r="U47" s="9" t="s">
        <v>494</v>
      </c>
      <c r="V47" s="85">
        <v>1.5</v>
      </c>
      <c r="W47" s="86">
        <v>2000</v>
      </c>
      <c r="X47" s="85">
        <v>7.2</v>
      </c>
      <c r="Y47" s="85">
        <v>9.4</v>
      </c>
      <c r="Z47" s="86">
        <v>3000</v>
      </c>
      <c r="AA47" s="85">
        <v>21.5</v>
      </c>
      <c r="AB47" s="38">
        <v>29</v>
      </c>
      <c r="AC47" s="85">
        <v>7.3</v>
      </c>
      <c r="AD47" s="87">
        <v>24</v>
      </c>
      <c r="AE47" s="88">
        <v>50</v>
      </c>
      <c r="AF47" s="78" t="s">
        <v>489</v>
      </c>
      <c r="AI47" s="9" t="s">
        <v>130</v>
      </c>
      <c r="AJ47" s="9">
        <v>34</v>
      </c>
      <c r="AK47" s="9">
        <v>16</v>
      </c>
      <c r="AL47" s="9">
        <v>86.6</v>
      </c>
      <c r="AM47" s="9">
        <v>28.1</v>
      </c>
    </row>
    <row r="48" spans="1:39" ht="16.2" x14ac:dyDescent="0.3">
      <c r="A48" s="4" t="s">
        <v>129</v>
      </c>
      <c r="B48" s="12">
        <f>INDEX($AI$2:$AM$54,MATCH($B$45,$AI$2:$AI$54),4)</f>
        <v>122.23</v>
      </c>
      <c r="C48" s="9" t="s">
        <v>19</v>
      </c>
      <c r="K48" s="78" t="s">
        <v>336</v>
      </c>
      <c r="L48" s="79">
        <v>32</v>
      </c>
      <c r="M48" s="79">
        <v>32</v>
      </c>
      <c r="N48" s="80">
        <v>3.9689999999999999</v>
      </c>
      <c r="O48" s="79">
        <v>1643</v>
      </c>
      <c r="P48" s="79">
        <v>2245</v>
      </c>
      <c r="Q48" s="79"/>
      <c r="R48" s="79">
        <v>88</v>
      </c>
      <c r="S48" s="78" t="s">
        <v>318</v>
      </c>
      <c r="T48" s="89" t="s">
        <v>525</v>
      </c>
      <c r="U48" s="9" t="s">
        <v>494</v>
      </c>
      <c r="V48" s="85">
        <v>2</v>
      </c>
      <c r="W48" s="86">
        <v>1000</v>
      </c>
      <c r="X48" s="85">
        <v>19.100000000000001</v>
      </c>
      <c r="Y48" s="85">
        <v>9.4</v>
      </c>
      <c r="Z48" s="86">
        <v>1500</v>
      </c>
      <c r="AA48" s="85">
        <v>57.3</v>
      </c>
      <c r="AB48" s="38">
        <v>30.1</v>
      </c>
      <c r="AC48" s="85">
        <v>22</v>
      </c>
      <c r="AD48" s="87">
        <v>35</v>
      </c>
      <c r="AE48" s="88">
        <v>75</v>
      </c>
      <c r="AF48" s="78" t="s">
        <v>489</v>
      </c>
      <c r="AI48" s="9" t="s">
        <v>127</v>
      </c>
      <c r="AJ48" s="9">
        <v>36</v>
      </c>
      <c r="AK48" s="9">
        <v>16</v>
      </c>
      <c r="AL48" s="9">
        <v>91.7</v>
      </c>
      <c r="AM48" s="9">
        <v>33</v>
      </c>
    </row>
    <row r="49" spans="1:39" ht="16.2" x14ac:dyDescent="0.3">
      <c r="A49" s="4" t="s">
        <v>126</v>
      </c>
      <c r="B49" s="12">
        <f>INDEX($AI$2:$AM$54,MATCH($B$45,$AI$2:$AI$54),5)</f>
        <v>33</v>
      </c>
      <c r="C49" s="9" t="s">
        <v>19</v>
      </c>
      <c r="K49" s="78" t="s">
        <v>337</v>
      </c>
      <c r="L49" s="79">
        <v>40</v>
      </c>
      <c r="M49" s="79">
        <v>5</v>
      </c>
      <c r="N49" s="80">
        <v>3.5</v>
      </c>
      <c r="O49" s="79">
        <v>3561</v>
      </c>
      <c r="P49" s="79">
        <v>6541</v>
      </c>
      <c r="Q49" s="79"/>
      <c r="R49" s="79">
        <v>54</v>
      </c>
      <c r="S49" s="78" t="s">
        <v>318</v>
      </c>
      <c r="T49" s="89" t="s">
        <v>526</v>
      </c>
      <c r="U49" s="9" t="s">
        <v>494</v>
      </c>
      <c r="V49" s="85">
        <v>2</v>
      </c>
      <c r="W49" s="86">
        <v>2000</v>
      </c>
      <c r="X49" s="85">
        <v>9.5</v>
      </c>
      <c r="Y49" s="85">
        <v>9.6</v>
      </c>
      <c r="Z49" s="86">
        <v>3000</v>
      </c>
      <c r="AA49" s="85">
        <v>28.6</v>
      </c>
      <c r="AB49" s="38">
        <v>31</v>
      </c>
      <c r="AC49" s="85">
        <v>11</v>
      </c>
      <c r="AD49" s="87">
        <v>35</v>
      </c>
      <c r="AE49" s="88">
        <v>75</v>
      </c>
      <c r="AF49" s="78" t="s">
        <v>485</v>
      </c>
      <c r="AI49" s="9" t="s">
        <v>124</v>
      </c>
      <c r="AJ49" s="9">
        <v>38</v>
      </c>
      <c r="AK49" s="9">
        <v>16</v>
      </c>
      <c r="AL49" s="9">
        <v>96.8</v>
      </c>
      <c r="AM49" s="9">
        <v>33</v>
      </c>
    </row>
    <row r="50" spans="1:39" ht="16.2" x14ac:dyDescent="0.3">
      <c r="A50" s="4"/>
      <c r="B50" s="12"/>
      <c r="K50" s="78" t="s">
        <v>338</v>
      </c>
      <c r="L50" s="79">
        <v>40</v>
      </c>
      <c r="M50" s="79">
        <v>10</v>
      </c>
      <c r="N50" s="80">
        <v>6</v>
      </c>
      <c r="O50" s="79">
        <v>6122</v>
      </c>
      <c r="P50" s="79">
        <v>8816</v>
      </c>
      <c r="Q50" s="79"/>
      <c r="R50" s="79">
        <v>70</v>
      </c>
      <c r="S50" s="78" t="s">
        <v>318</v>
      </c>
      <c r="T50" s="89" t="s">
        <v>527</v>
      </c>
      <c r="U50" s="9" t="s">
        <v>497</v>
      </c>
      <c r="V50" s="85">
        <v>3</v>
      </c>
      <c r="W50" s="86">
        <v>1000</v>
      </c>
      <c r="X50" s="85">
        <v>28.6</v>
      </c>
      <c r="Y50" s="85">
        <v>13</v>
      </c>
      <c r="Z50" s="86">
        <v>1500</v>
      </c>
      <c r="AA50" s="85">
        <v>85.9</v>
      </c>
      <c r="AB50" s="38">
        <v>41.6</v>
      </c>
      <c r="AC50" s="85">
        <v>26</v>
      </c>
      <c r="AD50" s="87">
        <v>35</v>
      </c>
      <c r="AE50" s="88">
        <v>75</v>
      </c>
      <c r="AF50" s="78" t="s">
        <v>485</v>
      </c>
      <c r="AI50" s="9" t="s">
        <v>122</v>
      </c>
      <c r="AJ50" s="9">
        <v>44</v>
      </c>
      <c r="AK50" s="9">
        <v>16</v>
      </c>
      <c r="AL50" s="9">
        <v>112</v>
      </c>
      <c r="AM50" s="9">
        <v>33</v>
      </c>
    </row>
    <row r="51" spans="1:39" ht="16.2" x14ac:dyDescent="0.3">
      <c r="A51" s="5" t="s">
        <v>281</v>
      </c>
      <c r="B51" s="69">
        <f>+B46/B40</f>
        <v>1.5</v>
      </c>
      <c r="D51" s="12"/>
      <c r="K51" s="78" t="s">
        <v>339</v>
      </c>
      <c r="L51" s="79">
        <v>40</v>
      </c>
      <c r="M51" s="79">
        <v>10</v>
      </c>
      <c r="N51" s="80">
        <v>6</v>
      </c>
      <c r="O51" s="79">
        <v>8827</v>
      </c>
      <c r="P51" s="79">
        <v>13490</v>
      </c>
      <c r="Q51" s="79"/>
      <c r="R51" s="79">
        <v>90</v>
      </c>
      <c r="S51" s="78" t="s">
        <v>318</v>
      </c>
      <c r="T51" s="89" t="s">
        <v>528</v>
      </c>
      <c r="U51" s="9" t="s">
        <v>497</v>
      </c>
      <c r="V51" s="85">
        <v>3.5</v>
      </c>
      <c r="W51" s="86">
        <v>2000</v>
      </c>
      <c r="X51" s="85">
        <v>16.7</v>
      </c>
      <c r="Y51" s="85">
        <v>14</v>
      </c>
      <c r="Z51" s="86">
        <v>3000</v>
      </c>
      <c r="AA51" s="85">
        <v>50.1</v>
      </c>
      <c r="AB51" s="38">
        <v>45</v>
      </c>
      <c r="AC51" s="85">
        <v>16</v>
      </c>
      <c r="AD51" s="87">
        <v>35</v>
      </c>
      <c r="AE51" s="88">
        <v>75</v>
      </c>
      <c r="AF51" s="78" t="s">
        <v>485</v>
      </c>
      <c r="AI51" s="9" t="s">
        <v>120</v>
      </c>
      <c r="AJ51" s="9">
        <v>50</v>
      </c>
      <c r="AK51" s="9">
        <v>16</v>
      </c>
      <c r="AL51" s="9">
        <v>127.3</v>
      </c>
      <c r="AM51" s="9">
        <v>33</v>
      </c>
    </row>
    <row r="52" spans="1:39" x14ac:dyDescent="0.3">
      <c r="K52" s="78" t="s">
        <v>340</v>
      </c>
      <c r="L52" s="79">
        <v>40</v>
      </c>
      <c r="M52" s="79">
        <v>20</v>
      </c>
      <c r="N52" s="80">
        <v>6</v>
      </c>
      <c r="O52" s="79">
        <v>4643</v>
      </c>
      <c r="P52" s="79">
        <v>6408</v>
      </c>
      <c r="Q52" s="79"/>
      <c r="R52" s="79">
        <v>88</v>
      </c>
      <c r="S52" s="78" t="s">
        <v>318</v>
      </c>
      <c r="T52" s="89" t="s">
        <v>529</v>
      </c>
      <c r="U52" s="9" t="s">
        <v>499</v>
      </c>
      <c r="V52" s="85">
        <v>4.2</v>
      </c>
      <c r="W52" s="86">
        <v>1000</v>
      </c>
      <c r="X52" s="85">
        <v>40.1</v>
      </c>
      <c r="Y52" s="85">
        <v>19</v>
      </c>
      <c r="Z52" s="86">
        <v>1500</v>
      </c>
      <c r="AA52" s="85">
        <v>120</v>
      </c>
      <c r="AB52" s="38">
        <v>60.8</v>
      </c>
      <c r="AC52" s="85">
        <v>33</v>
      </c>
      <c r="AD52" s="87">
        <v>35</v>
      </c>
      <c r="AE52" s="88">
        <v>75</v>
      </c>
      <c r="AF52" s="78" t="s">
        <v>485</v>
      </c>
      <c r="AI52" s="9" t="s">
        <v>118</v>
      </c>
      <c r="AJ52" s="9">
        <v>52</v>
      </c>
      <c r="AK52" s="9">
        <v>16</v>
      </c>
      <c r="AL52" s="9">
        <v>132.4</v>
      </c>
      <c r="AM52" s="9">
        <v>33</v>
      </c>
    </row>
    <row r="53" spans="1:39" ht="17.399999999999999" x14ac:dyDescent="0.3">
      <c r="A53" s="13" t="s">
        <v>27</v>
      </c>
      <c r="B53" s="14">
        <v>9810</v>
      </c>
      <c r="C53" s="17" t="s">
        <v>26</v>
      </c>
      <c r="D53" s="9">
        <f>+B53/1000</f>
        <v>9.81</v>
      </c>
      <c r="E53" s="17" t="s">
        <v>25</v>
      </c>
      <c r="K53" s="78" t="s">
        <v>341</v>
      </c>
      <c r="L53" s="79">
        <v>40</v>
      </c>
      <c r="M53" s="79">
        <v>40</v>
      </c>
      <c r="N53" s="80">
        <v>6</v>
      </c>
      <c r="O53" s="79">
        <v>3122</v>
      </c>
      <c r="P53" s="79">
        <v>4112</v>
      </c>
      <c r="Q53" s="79"/>
      <c r="R53" s="79">
        <v>102</v>
      </c>
      <c r="S53" s="78" t="s">
        <v>318</v>
      </c>
      <c r="T53" s="89" t="s">
        <v>530</v>
      </c>
      <c r="U53" s="9" t="s">
        <v>499</v>
      </c>
      <c r="V53" s="85">
        <v>5</v>
      </c>
      <c r="W53" s="86">
        <v>2000</v>
      </c>
      <c r="X53" s="85">
        <v>23.9</v>
      </c>
      <c r="Y53" s="85">
        <v>22</v>
      </c>
      <c r="Z53" s="86">
        <v>3000</v>
      </c>
      <c r="AA53" s="85">
        <v>71.599999999999994</v>
      </c>
      <c r="AB53" s="38">
        <v>70</v>
      </c>
      <c r="AC53" s="85">
        <v>20</v>
      </c>
      <c r="AD53" s="87">
        <v>35</v>
      </c>
      <c r="AE53" s="88">
        <v>75</v>
      </c>
      <c r="AF53" s="78" t="s">
        <v>485</v>
      </c>
    </row>
    <row r="54" spans="1:39" ht="16.2" x14ac:dyDescent="0.3">
      <c r="A54" s="4" t="s">
        <v>117</v>
      </c>
      <c r="B54" s="16">
        <f>+B3/B9</f>
        <v>20</v>
      </c>
      <c r="C54" s="9" t="s">
        <v>2</v>
      </c>
      <c r="K54" s="78" t="s">
        <v>342</v>
      </c>
      <c r="L54" s="79">
        <v>50</v>
      </c>
      <c r="M54" s="79">
        <v>5</v>
      </c>
      <c r="N54" s="80">
        <v>3.5</v>
      </c>
      <c r="O54" s="79">
        <v>3918</v>
      </c>
      <c r="P54" s="79">
        <v>8296</v>
      </c>
      <c r="Q54" s="79"/>
      <c r="R54" s="79">
        <v>54</v>
      </c>
      <c r="S54" s="78" t="s">
        <v>318</v>
      </c>
      <c r="T54" s="89" t="s">
        <v>531</v>
      </c>
      <c r="U54" s="9" t="s">
        <v>501</v>
      </c>
      <c r="V54" s="85">
        <v>0.5</v>
      </c>
      <c r="W54" s="86">
        <v>1000</v>
      </c>
      <c r="X54" s="85">
        <v>4.8</v>
      </c>
      <c r="Y54" s="85">
        <v>2.8</v>
      </c>
      <c r="Z54" s="86">
        <v>1500</v>
      </c>
      <c r="AA54" s="85">
        <v>14.3</v>
      </c>
      <c r="AB54" s="38">
        <v>9</v>
      </c>
      <c r="AC54" s="85">
        <v>8.1999999999999993</v>
      </c>
      <c r="AD54" s="87">
        <v>24</v>
      </c>
      <c r="AE54" s="88">
        <v>50</v>
      </c>
      <c r="AF54" s="78" t="s">
        <v>485</v>
      </c>
      <c r="AI54" s="9" t="s">
        <v>115</v>
      </c>
      <c r="AJ54" s="9">
        <v>56</v>
      </c>
      <c r="AK54" s="9">
        <v>16</v>
      </c>
      <c r="AL54" s="9">
        <v>142.6</v>
      </c>
      <c r="AM54" s="9">
        <v>33</v>
      </c>
    </row>
    <row r="55" spans="1:39" ht="19.8" x14ac:dyDescent="0.3">
      <c r="A55" s="4" t="s">
        <v>114</v>
      </c>
      <c r="B55" s="14">
        <f>+B31*B51*B9</f>
        <v>30000</v>
      </c>
      <c r="C55" s="9" t="s">
        <v>111</v>
      </c>
      <c r="D55" s="45">
        <f>+B55/1000</f>
        <v>30</v>
      </c>
      <c r="E55" s="9" t="s">
        <v>110</v>
      </c>
      <c r="F55" s="16">
        <f>+ROUND(B55/60,2)</f>
        <v>500</v>
      </c>
      <c r="G55" s="9" t="s">
        <v>109</v>
      </c>
      <c r="K55" s="78" t="s">
        <v>343</v>
      </c>
      <c r="L55" s="79">
        <v>50</v>
      </c>
      <c r="M55" s="79">
        <v>10</v>
      </c>
      <c r="N55" s="80">
        <v>6</v>
      </c>
      <c r="O55" s="79">
        <v>9755</v>
      </c>
      <c r="P55" s="79">
        <v>16990</v>
      </c>
      <c r="Q55" s="79"/>
      <c r="R55" s="79">
        <v>90</v>
      </c>
      <c r="S55" s="78" t="s">
        <v>318</v>
      </c>
      <c r="T55" s="89" t="s">
        <v>532</v>
      </c>
      <c r="U55" s="9" t="s">
        <v>501</v>
      </c>
      <c r="V55" s="85">
        <v>0.5</v>
      </c>
      <c r="W55" s="86">
        <v>2000</v>
      </c>
      <c r="X55" s="85">
        <v>2.4</v>
      </c>
      <c r="Y55" s="85">
        <v>2.9</v>
      </c>
      <c r="Z55" s="86">
        <v>3000</v>
      </c>
      <c r="AA55" s="85">
        <v>7.2</v>
      </c>
      <c r="AB55" s="38">
        <v>9</v>
      </c>
      <c r="AC55" s="85">
        <v>4.8</v>
      </c>
      <c r="AD55" s="87">
        <v>24</v>
      </c>
      <c r="AE55" s="88">
        <v>50</v>
      </c>
      <c r="AF55" s="78" t="s">
        <v>485</v>
      </c>
    </row>
    <row r="56" spans="1:39" ht="19.8" x14ac:dyDescent="0.3">
      <c r="A56" s="4" t="s">
        <v>112</v>
      </c>
      <c r="B56" s="14">
        <f>+$B$9*B32*$B$51</f>
        <v>52500</v>
      </c>
      <c r="C56" s="9" t="s">
        <v>111</v>
      </c>
      <c r="D56" s="45">
        <f>+B56/1000</f>
        <v>52.5</v>
      </c>
      <c r="E56" s="9" t="s">
        <v>110</v>
      </c>
      <c r="F56" s="16">
        <f>+ROUND(B56/60,2)</f>
        <v>875</v>
      </c>
      <c r="G56" s="9" t="s">
        <v>109</v>
      </c>
      <c r="H56" s="16">
        <f>+ROUND(D56/60,2)</f>
        <v>0.88</v>
      </c>
      <c r="I56" s="9" t="s">
        <v>108</v>
      </c>
      <c r="K56" s="78" t="s">
        <v>344</v>
      </c>
      <c r="L56" s="79">
        <v>50</v>
      </c>
      <c r="M56" s="79">
        <v>16</v>
      </c>
      <c r="N56" s="80">
        <v>6</v>
      </c>
      <c r="O56" s="79">
        <v>9724</v>
      </c>
      <c r="P56" s="79">
        <v>16939</v>
      </c>
      <c r="Q56" s="79"/>
      <c r="R56" s="79">
        <v>128</v>
      </c>
      <c r="S56" s="78" t="s">
        <v>318</v>
      </c>
      <c r="T56" s="89" t="s">
        <v>533</v>
      </c>
      <c r="U56" s="9" t="s">
        <v>503</v>
      </c>
      <c r="V56" s="85">
        <v>7</v>
      </c>
      <c r="W56" s="86">
        <v>2000</v>
      </c>
      <c r="X56" s="85">
        <v>33.4</v>
      </c>
      <c r="Y56" s="85">
        <v>26</v>
      </c>
      <c r="Z56" s="86">
        <v>3000</v>
      </c>
      <c r="AA56" s="85">
        <v>100</v>
      </c>
      <c r="AB56" s="38">
        <v>83</v>
      </c>
      <c r="AC56" s="85">
        <v>27</v>
      </c>
      <c r="AD56" s="87">
        <v>35</v>
      </c>
      <c r="AE56" s="88">
        <v>75</v>
      </c>
      <c r="AF56" s="78" t="s">
        <v>485</v>
      </c>
    </row>
    <row r="57" spans="1:39" x14ac:dyDescent="0.3">
      <c r="K57" s="78" t="s">
        <v>345</v>
      </c>
      <c r="L57" s="79">
        <v>50</v>
      </c>
      <c r="M57" s="79">
        <v>20</v>
      </c>
      <c r="N57" s="80">
        <v>6.5</v>
      </c>
      <c r="O57" s="79">
        <v>5867</v>
      </c>
      <c r="P57" s="79">
        <v>8969</v>
      </c>
      <c r="Q57" s="79"/>
      <c r="R57" s="79">
        <v>92</v>
      </c>
      <c r="S57" s="78" t="s">
        <v>318</v>
      </c>
      <c r="T57" s="89" t="s">
        <v>534</v>
      </c>
      <c r="U57" s="9" t="s">
        <v>492</v>
      </c>
      <c r="V57" s="85">
        <v>0.85</v>
      </c>
      <c r="W57" s="86">
        <v>1000</v>
      </c>
      <c r="X57" s="85">
        <v>8.1</v>
      </c>
      <c r="Y57" s="85">
        <v>5.2</v>
      </c>
      <c r="Z57" s="86">
        <v>1500</v>
      </c>
      <c r="AA57" s="85">
        <v>24.4</v>
      </c>
      <c r="AB57" s="38">
        <v>16.600000000000001</v>
      </c>
      <c r="AC57" s="85">
        <v>9.3000000000000007</v>
      </c>
      <c r="AD57" s="87">
        <v>24</v>
      </c>
      <c r="AE57" s="88">
        <v>50</v>
      </c>
      <c r="AF57" s="78" t="s">
        <v>485</v>
      </c>
    </row>
    <row r="58" spans="1:39" ht="16.2" x14ac:dyDescent="0.3">
      <c r="A58" s="4" t="s">
        <v>105</v>
      </c>
      <c r="B58" s="70">
        <f>+F24*1000/(B31/B51)</f>
        <v>9.9</v>
      </c>
      <c r="C58" s="9" t="s">
        <v>19</v>
      </c>
      <c r="D58" s="4" t="s">
        <v>104</v>
      </c>
      <c r="E58" s="14">
        <f>+B9</f>
        <v>10</v>
      </c>
      <c r="F58" s="9" t="s">
        <v>19</v>
      </c>
      <c r="K58" s="78" t="s">
        <v>346</v>
      </c>
      <c r="L58" s="79">
        <v>50</v>
      </c>
      <c r="M58" s="79">
        <v>40</v>
      </c>
      <c r="N58" s="80">
        <v>6.5</v>
      </c>
      <c r="O58" s="79">
        <v>3929</v>
      </c>
      <c r="P58" s="79">
        <v>5694</v>
      </c>
      <c r="Q58" s="79"/>
      <c r="R58" s="79">
        <v>109</v>
      </c>
      <c r="S58" s="78" t="s">
        <v>318</v>
      </c>
      <c r="T58" s="89" t="s">
        <v>204</v>
      </c>
      <c r="V58" s="85">
        <v>1.6</v>
      </c>
      <c r="W58" s="86">
        <v>1000</v>
      </c>
      <c r="X58" s="85">
        <v>15.6</v>
      </c>
      <c r="Y58" s="85">
        <v>2.9</v>
      </c>
      <c r="Z58" s="86">
        <v>7000</v>
      </c>
      <c r="AA58" s="85">
        <v>42.1</v>
      </c>
      <c r="AB58" s="38">
        <v>0</v>
      </c>
      <c r="AC58" s="85">
        <v>21</v>
      </c>
      <c r="AD58" s="87">
        <v>24</v>
      </c>
      <c r="AE58" s="88">
        <v>50</v>
      </c>
      <c r="AF58" s="78" t="s">
        <v>485</v>
      </c>
    </row>
    <row r="59" spans="1:39" s="10" customFormat="1" ht="16.2" x14ac:dyDescent="0.3">
      <c r="B59" s="9"/>
      <c r="C59" s="9"/>
      <c r="D59" s="9"/>
      <c r="K59" s="78" t="s">
        <v>347</v>
      </c>
      <c r="L59" s="79">
        <v>63</v>
      </c>
      <c r="M59" s="79">
        <v>10</v>
      </c>
      <c r="N59" s="80">
        <v>6</v>
      </c>
      <c r="O59" s="79">
        <v>10878</v>
      </c>
      <c r="P59" s="79">
        <v>21867</v>
      </c>
      <c r="Q59" s="79"/>
      <c r="R59" s="79">
        <v>90</v>
      </c>
      <c r="S59" s="78" t="s">
        <v>318</v>
      </c>
      <c r="T59" s="89" t="s">
        <v>201</v>
      </c>
      <c r="U59" s="9"/>
      <c r="V59" s="85">
        <v>2.5</v>
      </c>
      <c r="W59" s="86">
        <v>1500</v>
      </c>
      <c r="X59" s="85">
        <v>15.6</v>
      </c>
      <c r="Y59" s="85">
        <v>4.3</v>
      </c>
      <c r="Z59" s="86">
        <v>7000</v>
      </c>
      <c r="AA59" s="85">
        <v>42.1</v>
      </c>
      <c r="AB59" s="38">
        <v>0</v>
      </c>
      <c r="AC59" s="85">
        <v>21</v>
      </c>
      <c r="AD59" s="87">
        <v>24</v>
      </c>
      <c r="AE59" s="88">
        <v>50</v>
      </c>
      <c r="AF59" s="78" t="s">
        <v>485</v>
      </c>
    </row>
    <row r="60" spans="1:39" x14ac:dyDescent="0.3">
      <c r="K60" s="78" t="s">
        <v>348</v>
      </c>
      <c r="L60" s="79">
        <v>63</v>
      </c>
      <c r="M60" s="79">
        <v>20</v>
      </c>
      <c r="N60" s="80">
        <v>6.5</v>
      </c>
      <c r="O60" s="79">
        <v>6510</v>
      </c>
      <c r="P60" s="79">
        <v>11439</v>
      </c>
      <c r="Q60" s="79"/>
      <c r="R60" s="79">
        <v>92</v>
      </c>
      <c r="S60" s="78" t="s">
        <v>318</v>
      </c>
      <c r="T60" s="89" t="s">
        <v>199</v>
      </c>
      <c r="V60" s="85">
        <v>3.3</v>
      </c>
      <c r="W60" s="86">
        <v>2000</v>
      </c>
      <c r="X60" s="85">
        <v>15.6</v>
      </c>
      <c r="Y60" s="85">
        <v>5.7</v>
      </c>
      <c r="Z60" s="86">
        <v>7000</v>
      </c>
      <c r="AA60" s="85">
        <v>42.1</v>
      </c>
      <c r="AB60" s="38">
        <v>0</v>
      </c>
      <c r="AC60" s="85">
        <v>21</v>
      </c>
      <c r="AD60" s="87">
        <v>24</v>
      </c>
      <c r="AE60" s="88">
        <v>50</v>
      </c>
      <c r="AF60" s="78" t="s">
        <v>485</v>
      </c>
    </row>
    <row r="61" spans="1:39" x14ac:dyDescent="0.3">
      <c r="K61" s="9" t="s">
        <v>581</v>
      </c>
      <c r="L61" s="79">
        <v>16</v>
      </c>
      <c r="M61" s="79">
        <v>5</v>
      </c>
      <c r="N61" s="80">
        <v>3.1749999999999998</v>
      </c>
      <c r="O61" s="79">
        <v>1311</v>
      </c>
      <c r="P61" s="79">
        <v>2899</v>
      </c>
      <c r="Q61" s="79">
        <v>30</v>
      </c>
      <c r="R61" s="79">
        <v>45</v>
      </c>
      <c r="S61" s="78" t="s">
        <v>586</v>
      </c>
      <c r="T61" s="89" t="s">
        <v>195</v>
      </c>
      <c r="V61" s="85">
        <v>4.9000000000000004</v>
      </c>
      <c r="W61" s="86">
        <v>3000</v>
      </c>
      <c r="X61" s="85">
        <v>15.6</v>
      </c>
      <c r="Y61" s="85">
        <v>8.6</v>
      </c>
      <c r="Z61" s="86">
        <v>7000</v>
      </c>
      <c r="AA61" s="85">
        <v>42.1</v>
      </c>
      <c r="AB61" s="38">
        <v>0</v>
      </c>
      <c r="AC61" s="85">
        <v>21</v>
      </c>
      <c r="AD61" s="87">
        <v>24</v>
      </c>
      <c r="AE61" s="88">
        <v>50</v>
      </c>
      <c r="AF61" s="78" t="s">
        <v>485</v>
      </c>
    </row>
    <row r="62" spans="1:39" ht="16.2" x14ac:dyDescent="0.3">
      <c r="A62" s="44" t="s">
        <v>99</v>
      </c>
      <c r="B62" s="67">
        <f>+D24/$B$9</f>
        <v>22</v>
      </c>
      <c r="C62" s="9" t="s">
        <v>96</v>
      </c>
      <c r="D62" s="43">
        <f>+B62*60</f>
        <v>1320</v>
      </c>
      <c r="E62" s="9" t="s">
        <v>15</v>
      </c>
      <c r="K62" s="9" t="s">
        <v>582</v>
      </c>
      <c r="L62" s="79">
        <v>25</v>
      </c>
      <c r="M62" s="79">
        <v>10</v>
      </c>
      <c r="N62" s="80">
        <v>4.7619999999999996</v>
      </c>
      <c r="O62" s="79">
        <v>2806</v>
      </c>
      <c r="P62" s="79">
        <v>6930</v>
      </c>
      <c r="Q62" s="79">
        <v>48</v>
      </c>
      <c r="R62" s="79">
        <v>80</v>
      </c>
      <c r="S62" s="78" t="s">
        <v>586</v>
      </c>
      <c r="T62" s="89" t="s">
        <v>191</v>
      </c>
      <c r="V62" s="85">
        <v>2.5</v>
      </c>
      <c r="W62" s="86">
        <v>1000</v>
      </c>
      <c r="X62" s="85">
        <v>24</v>
      </c>
      <c r="Y62" s="85">
        <v>4.3</v>
      </c>
      <c r="Z62" s="86">
        <v>7000</v>
      </c>
      <c r="AA62" s="85">
        <v>64.8</v>
      </c>
      <c r="AB62" s="38">
        <v>0</v>
      </c>
      <c r="AC62" s="85">
        <v>24</v>
      </c>
      <c r="AD62" s="87">
        <v>24</v>
      </c>
      <c r="AE62" s="88">
        <v>50</v>
      </c>
      <c r="AF62" s="78" t="s">
        <v>485</v>
      </c>
    </row>
    <row r="63" spans="1:39" ht="16.2" x14ac:dyDescent="0.3">
      <c r="A63" s="42" t="s">
        <v>97</v>
      </c>
      <c r="B63" s="68">
        <f>+B62*B51</f>
        <v>33</v>
      </c>
      <c r="C63" s="9" t="s">
        <v>96</v>
      </c>
      <c r="D63" s="41">
        <f>+B63*60</f>
        <v>1980</v>
      </c>
      <c r="E63" s="9" t="s">
        <v>15</v>
      </c>
      <c r="K63" s="9" t="s">
        <v>584</v>
      </c>
      <c r="L63" s="79">
        <v>32</v>
      </c>
      <c r="M63" s="79">
        <v>10</v>
      </c>
      <c r="N63" s="80">
        <v>6.35</v>
      </c>
      <c r="O63" s="79">
        <v>4565</v>
      </c>
      <c r="P63" s="79">
        <v>11598</v>
      </c>
      <c r="Q63" s="79">
        <v>58</v>
      </c>
      <c r="R63" s="79">
        <v>85</v>
      </c>
      <c r="S63" s="78" t="s">
        <v>586</v>
      </c>
      <c r="T63" s="89" t="s">
        <v>188</v>
      </c>
      <c r="V63" s="85">
        <v>3.8</v>
      </c>
      <c r="W63" s="86">
        <v>1500</v>
      </c>
      <c r="X63" s="85">
        <v>24</v>
      </c>
      <c r="Y63" s="85">
        <v>6.5</v>
      </c>
      <c r="Z63" s="86">
        <v>7000</v>
      </c>
      <c r="AA63" s="85">
        <v>64.8</v>
      </c>
      <c r="AB63" s="38">
        <v>0</v>
      </c>
      <c r="AC63" s="85">
        <v>24</v>
      </c>
      <c r="AD63" s="87">
        <v>24</v>
      </c>
      <c r="AE63" s="88">
        <v>50</v>
      </c>
      <c r="AF63" s="78" t="s">
        <v>485</v>
      </c>
    </row>
    <row r="64" spans="1:39" x14ac:dyDescent="0.3">
      <c r="K64" s="9" t="s">
        <v>585</v>
      </c>
      <c r="L64" s="79">
        <v>40</v>
      </c>
      <c r="M64" s="79">
        <v>10</v>
      </c>
      <c r="N64" s="80">
        <v>6.35</v>
      </c>
      <c r="O64" s="79">
        <v>5129</v>
      </c>
      <c r="P64" s="79">
        <v>14725</v>
      </c>
      <c r="Q64" s="79">
        <v>69</v>
      </c>
      <c r="R64" s="79">
        <v>88</v>
      </c>
      <c r="S64" s="78" t="s">
        <v>586</v>
      </c>
      <c r="T64" s="89" t="s">
        <v>186</v>
      </c>
      <c r="V64" s="85">
        <v>5</v>
      </c>
      <c r="W64" s="86">
        <v>2000</v>
      </c>
      <c r="X64" s="85">
        <v>24</v>
      </c>
      <c r="Y64" s="85">
        <v>8.6999999999999993</v>
      </c>
      <c r="Z64" s="86">
        <v>7000</v>
      </c>
      <c r="AA64" s="85">
        <v>64.8</v>
      </c>
      <c r="AB64" s="38">
        <v>0</v>
      </c>
      <c r="AC64" s="85">
        <v>24</v>
      </c>
      <c r="AD64" s="87">
        <v>24</v>
      </c>
      <c r="AE64" s="88">
        <v>50</v>
      </c>
      <c r="AF64" s="78" t="s">
        <v>485</v>
      </c>
    </row>
    <row r="65" spans="1:32" ht="16.2" x14ac:dyDescent="0.3">
      <c r="A65" s="4" t="s">
        <v>93</v>
      </c>
      <c r="B65" s="15">
        <v>10</v>
      </c>
      <c r="C65" s="9" t="s">
        <v>38</v>
      </c>
      <c r="K65" s="78" t="s">
        <v>349</v>
      </c>
      <c r="L65" s="79">
        <v>25</v>
      </c>
      <c r="M65" s="79">
        <v>5</v>
      </c>
      <c r="N65" s="80">
        <v>4</v>
      </c>
      <c r="O65" s="79">
        <v>1250</v>
      </c>
      <c r="P65" s="79">
        <v>3070</v>
      </c>
      <c r="Q65" s="79">
        <v>67</v>
      </c>
      <c r="R65" s="79">
        <v>76</v>
      </c>
      <c r="S65" s="78" t="s">
        <v>43</v>
      </c>
      <c r="T65" s="89" t="s">
        <v>183</v>
      </c>
      <c r="V65" s="85">
        <v>7.5</v>
      </c>
      <c r="W65" s="86">
        <v>3000</v>
      </c>
      <c r="X65" s="85">
        <v>24</v>
      </c>
      <c r="Y65" s="85">
        <v>13</v>
      </c>
      <c r="Z65" s="86">
        <v>7000</v>
      </c>
      <c r="AA65" s="85">
        <v>64.8</v>
      </c>
      <c r="AB65" s="38">
        <v>0</v>
      </c>
      <c r="AC65" s="85">
        <v>24</v>
      </c>
      <c r="AD65" s="87">
        <v>24</v>
      </c>
      <c r="AE65" s="88">
        <v>50</v>
      </c>
      <c r="AF65" s="78" t="s">
        <v>485</v>
      </c>
    </row>
    <row r="66" spans="1:32" ht="16.2" x14ac:dyDescent="0.3">
      <c r="A66" s="4" t="s">
        <v>91</v>
      </c>
      <c r="B66" s="15">
        <v>250</v>
      </c>
      <c r="C66" s="9" t="s">
        <v>90</v>
      </c>
      <c r="K66" s="78" t="s">
        <v>350</v>
      </c>
      <c r="L66" s="79">
        <v>25</v>
      </c>
      <c r="M66" s="79">
        <v>6</v>
      </c>
      <c r="N66" s="80">
        <v>3.9689999999999999</v>
      </c>
      <c r="O66" s="79">
        <v>1275</v>
      </c>
      <c r="P66" s="79">
        <v>2740</v>
      </c>
      <c r="Q66" s="79">
        <v>52</v>
      </c>
      <c r="R66" s="79">
        <v>77</v>
      </c>
      <c r="S66" s="78" t="s">
        <v>43</v>
      </c>
      <c r="T66" s="89" t="s">
        <v>180</v>
      </c>
      <c r="V66" s="85">
        <v>3.4</v>
      </c>
      <c r="W66" s="86">
        <v>1000</v>
      </c>
      <c r="X66" s="85">
        <v>32</v>
      </c>
      <c r="Y66" s="85">
        <v>5.9</v>
      </c>
      <c r="Z66" s="86">
        <v>7000</v>
      </c>
      <c r="AA66" s="85">
        <v>86.4</v>
      </c>
      <c r="AB66" s="38">
        <v>0</v>
      </c>
      <c r="AC66" s="85">
        <v>27</v>
      </c>
      <c r="AD66" s="87">
        <v>24</v>
      </c>
      <c r="AE66" s="88">
        <v>50</v>
      </c>
      <c r="AF66" s="78" t="s">
        <v>485</v>
      </c>
    </row>
    <row r="67" spans="1:32" ht="16.2" x14ac:dyDescent="0.3">
      <c r="A67" s="4" t="s">
        <v>88</v>
      </c>
      <c r="B67" s="15">
        <v>2</v>
      </c>
      <c r="C67" s="9" t="s">
        <v>87</v>
      </c>
      <c r="K67" s="78" t="s">
        <v>351</v>
      </c>
      <c r="L67" s="79">
        <v>25</v>
      </c>
      <c r="M67" s="79">
        <v>8</v>
      </c>
      <c r="N67" s="80">
        <v>3.9689999999999999</v>
      </c>
      <c r="O67" s="79">
        <v>1275</v>
      </c>
      <c r="P67" s="79">
        <v>2740</v>
      </c>
      <c r="Q67" s="79">
        <v>52</v>
      </c>
      <c r="R67" s="79">
        <v>85</v>
      </c>
      <c r="S67" s="78" t="s">
        <v>43</v>
      </c>
      <c r="T67" s="89" t="s">
        <v>177</v>
      </c>
      <c r="V67" s="85">
        <v>5</v>
      </c>
      <c r="W67" s="86">
        <v>1500</v>
      </c>
      <c r="X67" s="85">
        <v>32</v>
      </c>
      <c r="Y67" s="85">
        <v>8.8000000000000007</v>
      </c>
      <c r="Z67" s="86">
        <v>7000</v>
      </c>
      <c r="AA67" s="85">
        <v>86.4</v>
      </c>
      <c r="AB67" s="38">
        <v>0</v>
      </c>
      <c r="AC67" s="85">
        <v>27</v>
      </c>
      <c r="AD67" s="87">
        <v>24</v>
      </c>
      <c r="AE67" s="88">
        <v>50</v>
      </c>
      <c r="AF67" s="78" t="s">
        <v>485</v>
      </c>
    </row>
    <row r="68" spans="1:32" ht="16.8" thickBot="1" x14ac:dyDescent="0.35">
      <c r="A68" s="4" t="s">
        <v>85</v>
      </c>
      <c r="B68" s="77">
        <v>0.7</v>
      </c>
      <c r="K68" s="78" t="s">
        <v>352</v>
      </c>
      <c r="L68" s="79">
        <v>25</v>
      </c>
      <c r="M68" s="79">
        <v>10</v>
      </c>
      <c r="N68" s="80">
        <v>4.7619999999999996</v>
      </c>
      <c r="O68" s="79">
        <v>1140</v>
      </c>
      <c r="P68" s="79">
        <v>2140</v>
      </c>
      <c r="Q68" s="79">
        <v>36</v>
      </c>
      <c r="R68" s="79">
        <v>88</v>
      </c>
      <c r="S68" s="78" t="s">
        <v>43</v>
      </c>
      <c r="T68" s="89" t="s">
        <v>175</v>
      </c>
      <c r="V68" s="85">
        <v>6.7</v>
      </c>
      <c r="W68" s="86">
        <v>2000</v>
      </c>
      <c r="X68" s="85">
        <v>32</v>
      </c>
      <c r="Y68" s="85">
        <v>11.7</v>
      </c>
      <c r="Z68" s="86">
        <v>7000</v>
      </c>
      <c r="AA68" s="85">
        <v>86.4</v>
      </c>
      <c r="AB68" s="38">
        <v>0</v>
      </c>
      <c r="AC68" s="85">
        <v>27</v>
      </c>
      <c r="AD68" s="87">
        <v>24</v>
      </c>
      <c r="AE68" s="88">
        <v>50</v>
      </c>
      <c r="AF68" s="78" t="s">
        <v>485</v>
      </c>
    </row>
    <row r="69" spans="1:32" ht="20.399999999999999" thickBot="1" x14ac:dyDescent="0.35">
      <c r="A69" s="75" t="s">
        <v>283</v>
      </c>
      <c r="B69" s="40">
        <f>+B65*B66*B67*B68</f>
        <v>3500</v>
      </c>
      <c r="C69" s="9" t="s">
        <v>38</v>
      </c>
      <c r="E69" s="11"/>
      <c r="F69" s="39"/>
      <c r="G69" s="11"/>
      <c r="K69" s="78" t="s">
        <v>353</v>
      </c>
      <c r="L69" s="79">
        <v>25</v>
      </c>
      <c r="M69" s="79">
        <v>10</v>
      </c>
      <c r="N69" s="80">
        <v>4.7619999999999996</v>
      </c>
      <c r="O69" s="79">
        <v>1610</v>
      </c>
      <c r="P69" s="79">
        <v>3210</v>
      </c>
      <c r="Q69" s="79">
        <v>53</v>
      </c>
      <c r="R69" s="79">
        <v>102</v>
      </c>
      <c r="S69" s="78" t="s">
        <v>43</v>
      </c>
      <c r="T69" s="89" t="s">
        <v>172</v>
      </c>
      <c r="V69" s="85">
        <v>10.1</v>
      </c>
      <c r="W69" s="86">
        <v>3000</v>
      </c>
      <c r="X69" s="85">
        <v>32</v>
      </c>
      <c r="Y69" s="85">
        <v>17.600000000000001</v>
      </c>
      <c r="Z69" s="86">
        <v>7000</v>
      </c>
      <c r="AA69" s="85">
        <v>86.4</v>
      </c>
      <c r="AB69" s="38">
        <v>0</v>
      </c>
      <c r="AC69" s="85">
        <v>27</v>
      </c>
      <c r="AD69" s="87">
        <v>24</v>
      </c>
      <c r="AE69" s="88">
        <v>50</v>
      </c>
      <c r="AF69" s="78" t="s">
        <v>485</v>
      </c>
    </row>
    <row r="70" spans="1:32" x14ac:dyDescent="0.3">
      <c r="K70" s="78" t="s">
        <v>354</v>
      </c>
      <c r="L70" s="79">
        <v>28</v>
      </c>
      <c r="M70" s="79">
        <v>6</v>
      </c>
      <c r="N70" s="80">
        <v>3.1749999999999998</v>
      </c>
      <c r="O70" s="79">
        <v>1030</v>
      </c>
      <c r="P70" s="79">
        <v>2630</v>
      </c>
      <c r="Q70" s="79">
        <v>56</v>
      </c>
      <c r="R70" s="79">
        <v>69</v>
      </c>
      <c r="S70" s="78" t="s">
        <v>43</v>
      </c>
      <c r="T70" s="89" t="s">
        <v>168</v>
      </c>
      <c r="V70" s="85">
        <v>6.3</v>
      </c>
      <c r="W70" s="86">
        <v>1500</v>
      </c>
      <c r="X70" s="85">
        <v>40</v>
      </c>
      <c r="Y70" s="85">
        <v>11.2</v>
      </c>
      <c r="Z70" s="86">
        <v>7000</v>
      </c>
      <c r="AA70" s="85">
        <v>108</v>
      </c>
      <c r="AB70" s="38">
        <v>0</v>
      </c>
      <c r="AC70" s="85">
        <v>30</v>
      </c>
      <c r="AD70" s="87">
        <v>24</v>
      </c>
      <c r="AE70" s="88">
        <v>50</v>
      </c>
      <c r="AF70" s="78" t="s">
        <v>485</v>
      </c>
    </row>
    <row r="71" spans="1:32" ht="16.2" x14ac:dyDescent="0.3">
      <c r="A71" s="4" t="s">
        <v>81</v>
      </c>
      <c r="K71" s="78" t="s">
        <v>355</v>
      </c>
      <c r="L71" s="79">
        <v>28</v>
      </c>
      <c r="M71" s="79">
        <v>10</v>
      </c>
      <c r="N71" s="80">
        <v>3.1749999999999998</v>
      </c>
      <c r="O71" s="79">
        <v>730</v>
      </c>
      <c r="P71" s="79">
        <v>1750</v>
      </c>
      <c r="Q71" s="79">
        <v>38</v>
      </c>
      <c r="R71" s="79">
        <v>77</v>
      </c>
      <c r="S71" s="78" t="s">
        <v>43</v>
      </c>
      <c r="T71" s="89" t="s">
        <v>535</v>
      </c>
      <c r="V71" s="85">
        <v>12.6</v>
      </c>
      <c r="W71" s="86">
        <v>3000</v>
      </c>
      <c r="X71" s="85">
        <v>40</v>
      </c>
      <c r="Y71" s="85">
        <v>22.4</v>
      </c>
      <c r="Z71" s="86">
        <v>7000</v>
      </c>
      <c r="AA71" s="85">
        <v>108</v>
      </c>
      <c r="AB71" s="38">
        <v>0</v>
      </c>
      <c r="AC71" s="85">
        <v>30</v>
      </c>
      <c r="AD71" s="87">
        <v>24</v>
      </c>
      <c r="AE71" s="88">
        <v>50</v>
      </c>
      <c r="AF71" s="78" t="s">
        <v>485</v>
      </c>
    </row>
    <row r="72" spans="1:32" ht="16.2" x14ac:dyDescent="0.3">
      <c r="A72" s="33" t="s">
        <v>282</v>
      </c>
      <c r="B72" s="33" t="s">
        <v>79</v>
      </c>
      <c r="C72" s="33" t="s">
        <v>78</v>
      </c>
      <c r="D72" s="33" t="s">
        <v>77</v>
      </c>
      <c r="E72" s="33" t="s">
        <v>76</v>
      </c>
      <c r="F72" s="33" t="s">
        <v>75</v>
      </c>
      <c r="G72" s="33" t="s">
        <v>74</v>
      </c>
      <c r="K72" s="78" t="s">
        <v>356</v>
      </c>
      <c r="L72" s="79">
        <v>32</v>
      </c>
      <c r="M72" s="79">
        <v>6</v>
      </c>
      <c r="N72" s="80">
        <v>3.9689999999999999</v>
      </c>
      <c r="O72" s="79">
        <v>1500</v>
      </c>
      <c r="P72" s="79">
        <v>3750</v>
      </c>
      <c r="Q72" s="79">
        <v>65</v>
      </c>
      <c r="R72" s="79">
        <v>77</v>
      </c>
      <c r="S72" s="78" t="s">
        <v>43</v>
      </c>
      <c r="T72" s="89" t="s">
        <v>536</v>
      </c>
      <c r="V72" s="85">
        <v>14.25</v>
      </c>
      <c r="W72" s="86">
        <v>3000</v>
      </c>
      <c r="X72" s="85">
        <v>45</v>
      </c>
      <c r="Y72" s="85">
        <v>27</v>
      </c>
      <c r="Z72" s="86">
        <v>4000</v>
      </c>
      <c r="AA72" s="88">
        <v>121.5</v>
      </c>
      <c r="AB72" s="38">
        <v>0</v>
      </c>
      <c r="AC72" s="85">
        <v>40</v>
      </c>
      <c r="AD72" s="87">
        <v>42</v>
      </c>
      <c r="AE72" s="88">
        <v>80</v>
      </c>
      <c r="AF72" s="78" t="s">
        <v>485</v>
      </c>
    </row>
    <row r="73" spans="1:32" ht="16.2" x14ac:dyDescent="0.3">
      <c r="A73" s="33" t="s">
        <v>73</v>
      </c>
      <c r="B73" s="37">
        <f>+B74/2</f>
        <v>6.6</v>
      </c>
      <c r="C73" s="36">
        <f>+C74/2</f>
        <v>660</v>
      </c>
      <c r="D73" s="74">
        <f>+B2*D53*(SIN(B4*PI()/180)+COS(B4*PI()/180)*B5)+B2*D17</f>
        <v>9309.69</v>
      </c>
      <c r="E73" s="35">
        <f t="shared" ref="E73:E79" si="0">+F73/$F$80*100</f>
        <v>1.6666666666666667</v>
      </c>
      <c r="F73" s="32">
        <f t="shared" ref="F73:F80" si="1">+G73/60</f>
        <v>0.1</v>
      </c>
      <c r="G73" s="32">
        <v>6</v>
      </c>
      <c r="H73" s="34" t="s">
        <v>73</v>
      </c>
      <c r="K73" s="78" t="s">
        <v>357</v>
      </c>
      <c r="L73" s="79">
        <v>32</v>
      </c>
      <c r="M73" s="79">
        <v>6</v>
      </c>
      <c r="N73" s="80">
        <v>3.9689999999999999</v>
      </c>
      <c r="O73" s="79">
        <v>1920</v>
      </c>
      <c r="P73" s="79">
        <v>5000</v>
      </c>
      <c r="Q73" s="79">
        <v>86</v>
      </c>
      <c r="R73" s="79">
        <v>90</v>
      </c>
      <c r="S73" s="78" t="s">
        <v>43</v>
      </c>
      <c r="T73" s="89" t="s">
        <v>160</v>
      </c>
      <c r="V73" s="85">
        <v>8.3000000000000007</v>
      </c>
      <c r="W73" s="86">
        <v>1500</v>
      </c>
      <c r="X73" s="85">
        <v>52.2</v>
      </c>
      <c r="Y73" s="85">
        <v>15.8</v>
      </c>
      <c r="Z73" s="86">
        <v>4000</v>
      </c>
      <c r="AA73" s="88">
        <v>140.9</v>
      </c>
      <c r="AB73" s="38">
        <v>0</v>
      </c>
      <c r="AC73" s="85">
        <v>50</v>
      </c>
      <c r="AD73" s="87">
        <v>42</v>
      </c>
      <c r="AE73" s="88">
        <v>80</v>
      </c>
      <c r="AF73" s="78" t="s">
        <v>485</v>
      </c>
    </row>
    <row r="74" spans="1:32" ht="16.2" x14ac:dyDescent="0.3">
      <c r="A74" s="33" t="s">
        <v>72</v>
      </c>
      <c r="B74" s="37">
        <f>+F24</f>
        <v>13.2</v>
      </c>
      <c r="C74" s="36">
        <f>+D62</f>
        <v>1320</v>
      </c>
      <c r="D74" s="74">
        <f>+B2*D53*(SIN(B4*PI()/180)+COS(B4*PI()/180)*B5)</f>
        <v>7161.3</v>
      </c>
      <c r="E74" s="35">
        <f t="shared" si="0"/>
        <v>16.666666666666664</v>
      </c>
      <c r="F74" s="32">
        <f t="shared" si="1"/>
        <v>1</v>
      </c>
      <c r="G74" s="32">
        <v>60</v>
      </c>
      <c r="H74" s="34" t="s">
        <v>72</v>
      </c>
      <c r="K74" s="78" t="s">
        <v>358</v>
      </c>
      <c r="L74" s="79">
        <v>32</v>
      </c>
      <c r="M74" s="79">
        <v>10</v>
      </c>
      <c r="N74" s="80">
        <v>6.35</v>
      </c>
      <c r="O74" s="79">
        <v>2605</v>
      </c>
      <c r="P74" s="79">
        <v>5310</v>
      </c>
      <c r="Q74" s="79">
        <v>67</v>
      </c>
      <c r="R74" s="79">
        <v>120</v>
      </c>
      <c r="S74" s="78" t="s">
        <v>319</v>
      </c>
      <c r="T74" s="89" t="s">
        <v>537</v>
      </c>
      <c r="V74" s="85">
        <v>16.5</v>
      </c>
      <c r="W74" s="86">
        <v>3000</v>
      </c>
      <c r="X74" s="85">
        <v>52.2</v>
      </c>
      <c r="Y74" s="85">
        <v>31.5</v>
      </c>
      <c r="Z74" s="86">
        <v>4000</v>
      </c>
      <c r="AA74" s="88">
        <v>140.9</v>
      </c>
      <c r="AB74" s="38">
        <v>0</v>
      </c>
      <c r="AC74" s="85">
        <v>50</v>
      </c>
      <c r="AD74" s="87">
        <v>42</v>
      </c>
      <c r="AE74" s="88">
        <v>80</v>
      </c>
      <c r="AF74" s="78" t="s">
        <v>485</v>
      </c>
    </row>
    <row r="75" spans="1:32" ht="16.2" x14ac:dyDescent="0.3">
      <c r="A75" s="33" t="s">
        <v>71</v>
      </c>
      <c r="B75" s="37">
        <f>+B73</f>
        <v>6.6</v>
      </c>
      <c r="C75" s="36">
        <f>+C74/2</f>
        <v>660</v>
      </c>
      <c r="D75" s="74">
        <f>+B2*D53*(SIN(B4*PI()/180)+COS(B4*PI()/180)*B5)-B2*D17</f>
        <v>5012.91</v>
      </c>
      <c r="E75" s="35">
        <f t="shared" si="0"/>
        <v>8.3333333333333321</v>
      </c>
      <c r="F75" s="32">
        <f t="shared" si="1"/>
        <v>0.5</v>
      </c>
      <c r="G75" s="32">
        <v>30</v>
      </c>
      <c r="H75" s="34" t="s">
        <v>71</v>
      </c>
      <c r="K75" s="78" t="s">
        <v>359</v>
      </c>
      <c r="L75" s="79">
        <v>32</v>
      </c>
      <c r="M75" s="79">
        <v>10</v>
      </c>
      <c r="N75" s="80">
        <v>6.35</v>
      </c>
      <c r="O75" s="79">
        <v>2605</v>
      </c>
      <c r="P75" s="79">
        <v>5310</v>
      </c>
      <c r="Q75" s="79">
        <v>67</v>
      </c>
      <c r="R75" s="79">
        <v>124</v>
      </c>
      <c r="S75" s="78" t="s">
        <v>319</v>
      </c>
      <c r="T75" s="89" t="s">
        <v>158</v>
      </c>
      <c r="V75" s="85">
        <v>11.3</v>
      </c>
      <c r="W75" s="86">
        <v>1500</v>
      </c>
      <c r="X75" s="85">
        <v>71.3</v>
      </c>
      <c r="Y75" s="85">
        <v>21</v>
      </c>
      <c r="Z75" s="86">
        <v>4000</v>
      </c>
      <c r="AA75" s="88">
        <v>192.4</v>
      </c>
      <c r="AB75" s="38">
        <v>0</v>
      </c>
      <c r="AC75" s="85">
        <v>60</v>
      </c>
      <c r="AD75" s="87">
        <v>42</v>
      </c>
      <c r="AE75" s="88">
        <v>80</v>
      </c>
      <c r="AF75" s="78" t="s">
        <v>485</v>
      </c>
    </row>
    <row r="76" spans="1:32" ht="16.2" x14ac:dyDescent="0.3">
      <c r="A76" s="33" t="s">
        <v>70</v>
      </c>
      <c r="B76" s="37">
        <f>+B77/2</f>
        <v>6.6</v>
      </c>
      <c r="C76" s="36">
        <f>+C77/2</f>
        <v>660</v>
      </c>
      <c r="D76" s="74">
        <f>+B2*D53*(SIN(B4*PI()/180)-COS(B4*PI()/180)*B5)+B2*D17</f>
        <v>9309.69</v>
      </c>
      <c r="E76" s="35">
        <f t="shared" si="0"/>
        <v>1.6666666666666667</v>
      </c>
      <c r="F76" s="32">
        <f t="shared" si="1"/>
        <v>0.1</v>
      </c>
      <c r="G76" s="32">
        <v>6</v>
      </c>
      <c r="H76" s="34" t="s">
        <v>70</v>
      </c>
      <c r="K76" s="78" t="s">
        <v>360</v>
      </c>
      <c r="L76" s="79">
        <v>40</v>
      </c>
      <c r="M76" s="79">
        <v>5</v>
      </c>
      <c r="N76" s="80">
        <v>3.1749999999999998</v>
      </c>
      <c r="O76" s="79">
        <v>2230</v>
      </c>
      <c r="P76" s="79">
        <v>7940</v>
      </c>
      <c r="Q76" s="79">
        <v>147</v>
      </c>
      <c r="R76" s="79">
        <v>101</v>
      </c>
      <c r="S76" s="78" t="s">
        <v>319</v>
      </c>
      <c r="T76" s="89" t="s">
        <v>538</v>
      </c>
      <c r="V76" s="85">
        <v>22.5</v>
      </c>
      <c r="W76" s="86">
        <v>3000</v>
      </c>
      <c r="X76" s="85">
        <v>71.3</v>
      </c>
      <c r="Y76" s="85">
        <v>42</v>
      </c>
      <c r="Z76" s="86">
        <v>4000</v>
      </c>
      <c r="AA76" s="88">
        <v>192.4</v>
      </c>
      <c r="AB76" s="38">
        <v>0</v>
      </c>
      <c r="AC76" s="85">
        <v>60</v>
      </c>
      <c r="AD76" s="87">
        <v>42</v>
      </c>
      <c r="AE76" s="88">
        <v>80</v>
      </c>
      <c r="AF76" s="78" t="s">
        <v>485</v>
      </c>
    </row>
    <row r="77" spans="1:32" ht="16.2" x14ac:dyDescent="0.3">
      <c r="A77" s="33" t="s">
        <v>69</v>
      </c>
      <c r="B77" s="37">
        <f>+F24</f>
        <v>13.2</v>
      </c>
      <c r="C77" s="36">
        <f>+D62</f>
        <v>1320</v>
      </c>
      <c r="D77" s="74">
        <f>+B2*D53*(SIN(B4*PI()/180)-COS(B4*PI()/180)*B5)</f>
        <v>7161.3</v>
      </c>
      <c r="E77" s="35">
        <f t="shared" si="0"/>
        <v>16.666666666666664</v>
      </c>
      <c r="F77" s="32">
        <f t="shared" si="1"/>
        <v>1</v>
      </c>
      <c r="G77" s="32">
        <v>60</v>
      </c>
      <c r="H77" s="34" t="s">
        <v>69</v>
      </c>
      <c r="K77" s="78" t="s">
        <v>361</v>
      </c>
      <c r="L77" s="79">
        <v>40</v>
      </c>
      <c r="M77" s="79">
        <v>20</v>
      </c>
      <c r="N77" s="80">
        <v>6.35</v>
      </c>
      <c r="O77" s="79">
        <v>3010</v>
      </c>
      <c r="P77" s="79">
        <v>7100</v>
      </c>
      <c r="Q77" s="79">
        <v>82</v>
      </c>
      <c r="R77" s="79">
        <v>123</v>
      </c>
      <c r="S77" s="78" t="s">
        <v>319</v>
      </c>
      <c r="T77" s="89" t="s">
        <v>156</v>
      </c>
      <c r="V77" s="85">
        <v>13.9</v>
      </c>
      <c r="W77" s="86">
        <v>1500</v>
      </c>
      <c r="X77" s="85">
        <v>87.8</v>
      </c>
      <c r="Y77" s="85">
        <v>26.3</v>
      </c>
      <c r="Z77" s="86">
        <v>4000</v>
      </c>
      <c r="AA77" s="88">
        <v>237.1</v>
      </c>
      <c r="AB77" s="38">
        <v>0</v>
      </c>
      <c r="AC77" s="85">
        <v>70</v>
      </c>
      <c r="AD77" s="87">
        <v>42</v>
      </c>
      <c r="AE77" s="88">
        <v>80</v>
      </c>
      <c r="AF77" s="78" t="s">
        <v>485</v>
      </c>
    </row>
    <row r="78" spans="1:32" ht="16.2" x14ac:dyDescent="0.3">
      <c r="A78" s="33" t="s">
        <v>68</v>
      </c>
      <c r="B78" s="37">
        <f>+B76</f>
        <v>6.6</v>
      </c>
      <c r="C78" s="36">
        <f>+C77/2</f>
        <v>660</v>
      </c>
      <c r="D78" s="74">
        <f>+B2*D53*(SIN(B4*PI()/180)-COS(B4*PI()/180)*B5)-B2*D17</f>
        <v>5012.91</v>
      </c>
      <c r="E78" s="35">
        <f t="shared" si="0"/>
        <v>8.3333333333333321</v>
      </c>
      <c r="F78" s="32">
        <f t="shared" si="1"/>
        <v>0.5</v>
      </c>
      <c r="G78" s="32">
        <v>30</v>
      </c>
      <c r="H78" s="34" t="s">
        <v>68</v>
      </c>
      <c r="K78" s="78" t="s">
        <v>362</v>
      </c>
      <c r="L78" s="79">
        <v>45</v>
      </c>
      <c r="M78" s="79">
        <v>10</v>
      </c>
      <c r="N78" s="80">
        <v>6.35</v>
      </c>
      <c r="O78" s="79">
        <v>3850</v>
      </c>
      <c r="P78" s="79">
        <v>9470</v>
      </c>
      <c r="Q78" s="79">
        <v>107</v>
      </c>
      <c r="R78" s="79">
        <v>143</v>
      </c>
      <c r="S78" s="78" t="s">
        <v>43</v>
      </c>
      <c r="T78" s="89" t="s">
        <v>539</v>
      </c>
      <c r="V78" s="85">
        <v>27.75</v>
      </c>
      <c r="W78" s="86">
        <v>3000</v>
      </c>
      <c r="X78" s="85">
        <v>87.8</v>
      </c>
      <c r="Y78" s="85">
        <v>52.5</v>
      </c>
      <c r="Z78" s="86">
        <v>4000</v>
      </c>
      <c r="AA78" s="88">
        <v>237.1</v>
      </c>
      <c r="AB78" s="38">
        <v>0</v>
      </c>
      <c r="AC78" s="85">
        <v>70</v>
      </c>
      <c r="AD78" s="87">
        <v>42</v>
      </c>
      <c r="AE78" s="88">
        <v>80</v>
      </c>
      <c r="AF78" s="78" t="s">
        <v>485</v>
      </c>
    </row>
    <row r="79" spans="1:32" ht="16.2" x14ac:dyDescent="0.3">
      <c r="A79" s="33" t="s">
        <v>67</v>
      </c>
      <c r="B79" s="37">
        <v>0</v>
      </c>
      <c r="C79" s="36">
        <v>0</v>
      </c>
      <c r="D79" s="74">
        <f>+B2*D53*(SIN(B4*PI()/180)-COS(B4*PI()/180)*B5)-B2*0</f>
        <v>7161.3</v>
      </c>
      <c r="E79" s="35">
        <f t="shared" si="0"/>
        <v>46.666666666666664</v>
      </c>
      <c r="F79" s="32">
        <f t="shared" si="1"/>
        <v>2.8</v>
      </c>
      <c r="G79" s="32">
        <f>2*60+48</f>
        <v>168</v>
      </c>
      <c r="H79" s="34" t="s">
        <v>67</v>
      </c>
      <c r="K79" s="78" t="s">
        <v>363</v>
      </c>
      <c r="L79" s="79">
        <v>45</v>
      </c>
      <c r="M79" s="79">
        <v>12</v>
      </c>
      <c r="N79" s="80">
        <v>6.35</v>
      </c>
      <c r="O79" s="79">
        <v>3850</v>
      </c>
      <c r="P79" s="79">
        <v>9470</v>
      </c>
      <c r="Q79" s="79">
        <v>107</v>
      </c>
      <c r="R79" s="79">
        <v>160</v>
      </c>
      <c r="S79" s="78" t="s">
        <v>43</v>
      </c>
      <c r="T79" s="89" t="s">
        <v>154</v>
      </c>
      <c r="V79" s="85">
        <v>16.5</v>
      </c>
      <c r="W79" s="86">
        <v>1500</v>
      </c>
      <c r="X79" s="85">
        <v>104</v>
      </c>
      <c r="Y79" s="85">
        <v>31.2</v>
      </c>
      <c r="Z79" s="86">
        <v>4000</v>
      </c>
      <c r="AA79" s="88">
        <v>280.8</v>
      </c>
      <c r="AB79" s="38">
        <v>0</v>
      </c>
      <c r="AC79" s="85">
        <v>80</v>
      </c>
      <c r="AD79" s="87">
        <v>42</v>
      </c>
      <c r="AE79" s="88">
        <v>80</v>
      </c>
      <c r="AF79" s="78" t="s">
        <v>485</v>
      </c>
    </row>
    <row r="80" spans="1:32" x14ac:dyDescent="0.3">
      <c r="E80" s="16">
        <f>SUM(E73:E79)</f>
        <v>100</v>
      </c>
      <c r="F80" s="16">
        <f t="shared" si="1"/>
        <v>6</v>
      </c>
      <c r="G80" s="16">
        <f>SUM(G73:G79)</f>
        <v>360</v>
      </c>
      <c r="K80" s="78" t="s">
        <v>364</v>
      </c>
      <c r="L80" s="79">
        <v>50</v>
      </c>
      <c r="M80" s="79">
        <v>10</v>
      </c>
      <c r="N80" s="80">
        <v>6.35</v>
      </c>
      <c r="O80" s="79">
        <v>3430</v>
      </c>
      <c r="P80" s="79">
        <v>9300</v>
      </c>
      <c r="Q80" s="79">
        <v>99</v>
      </c>
      <c r="R80" s="79">
        <v>123</v>
      </c>
      <c r="S80" s="78" t="s">
        <v>43</v>
      </c>
      <c r="T80" s="89" t="s">
        <v>540</v>
      </c>
      <c r="V80" s="85">
        <v>33</v>
      </c>
      <c r="W80" s="86">
        <v>3000</v>
      </c>
      <c r="X80" s="85">
        <v>104</v>
      </c>
      <c r="Y80" s="85">
        <v>62.4</v>
      </c>
      <c r="Z80" s="86">
        <v>4000</v>
      </c>
      <c r="AA80" s="88">
        <v>280.8</v>
      </c>
      <c r="AB80" s="38">
        <v>0</v>
      </c>
      <c r="AC80" s="85">
        <v>80</v>
      </c>
      <c r="AD80" s="87">
        <v>42</v>
      </c>
      <c r="AE80" s="88">
        <v>80</v>
      </c>
      <c r="AF80" s="78" t="s">
        <v>485</v>
      </c>
    </row>
    <row r="81" spans="1:32" x14ac:dyDescent="0.3">
      <c r="E81" s="16"/>
      <c r="F81" s="16"/>
      <c r="G81" s="16"/>
      <c r="K81" s="78" t="s">
        <v>365</v>
      </c>
      <c r="L81" s="79">
        <v>50</v>
      </c>
      <c r="M81" s="79">
        <v>10</v>
      </c>
      <c r="N81" s="80">
        <v>6.35</v>
      </c>
      <c r="O81" s="79">
        <v>4390</v>
      </c>
      <c r="P81" s="79">
        <v>12400</v>
      </c>
      <c r="Q81" s="79">
        <v>129</v>
      </c>
      <c r="R81" s="79">
        <v>143</v>
      </c>
      <c r="S81" s="78" t="s">
        <v>43</v>
      </c>
      <c r="T81" s="89" t="s">
        <v>151</v>
      </c>
      <c r="V81" s="85">
        <v>19.5</v>
      </c>
      <c r="W81" s="86">
        <v>1500</v>
      </c>
      <c r="X81" s="85">
        <v>124</v>
      </c>
      <c r="Y81" s="85">
        <v>37</v>
      </c>
      <c r="Z81" s="86">
        <v>4000</v>
      </c>
      <c r="AA81" s="88">
        <v>334.8</v>
      </c>
      <c r="AB81" s="38">
        <v>0</v>
      </c>
      <c r="AC81" s="85">
        <v>100</v>
      </c>
      <c r="AD81" s="87">
        <v>42</v>
      </c>
      <c r="AE81" s="88">
        <v>80</v>
      </c>
      <c r="AF81" s="78" t="s">
        <v>485</v>
      </c>
    </row>
    <row r="82" spans="1:32" ht="16.2" x14ac:dyDescent="0.3">
      <c r="A82" s="4" t="s">
        <v>66</v>
      </c>
      <c r="E82" s="16"/>
      <c r="F82" s="16"/>
      <c r="G82" s="16"/>
      <c r="K82" s="78" t="s">
        <v>366</v>
      </c>
      <c r="L82" s="79">
        <v>63</v>
      </c>
      <c r="M82" s="79">
        <v>10</v>
      </c>
      <c r="N82" s="80">
        <v>6.35</v>
      </c>
      <c r="O82" s="79">
        <v>5020</v>
      </c>
      <c r="P82" s="79">
        <v>16450</v>
      </c>
      <c r="Q82" s="79">
        <v>158</v>
      </c>
      <c r="R82" s="79">
        <v>147</v>
      </c>
      <c r="S82" s="78" t="s">
        <v>43</v>
      </c>
      <c r="T82" s="89" t="s">
        <v>541</v>
      </c>
      <c r="V82" s="85">
        <v>39</v>
      </c>
      <c r="W82" s="86">
        <v>3000</v>
      </c>
      <c r="X82" s="85">
        <v>124</v>
      </c>
      <c r="Y82" s="85">
        <v>75</v>
      </c>
      <c r="Z82" s="86">
        <v>4000</v>
      </c>
      <c r="AA82" s="88">
        <v>334.8</v>
      </c>
      <c r="AB82" s="38">
        <v>0</v>
      </c>
      <c r="AC82" s="85">
        <v>100</v>
      </c>
      <c r="AD82" s="87">
        <v>42</v>
      </c>
      <c r="AE82" s="88">
        <v>80</v>
      </c>
      <c r="AF82" s="78" t="s">
        <v>485</v>
      </c>
    </row>
    <row r="83" spans="1:32" ht="19.8" x14ac:dyDescent="0.3">
      <c r="A83" s="4" t="s">
        <v>62</v>
      </c>
      <c r="B83" s="11">
        <f>+B14/60</f>
        <v>8.0833333333333339</v>
      </c>
      <c r="C83" s="9" t="s">
        <v>19</v>
      </c>
      <c r="D83" s="4" t="s">
        <v>64</v>
      </c>
      <c r="E83" s="14">
        <f>+$B$8</f>
        <v>32</v>
      </c>
      <c r="F83" s="9" t="s">
        <v>19</v>
      </c>
      <c r="G83" s="16"/>
      <c r="K83" s="78" t="s">
        <v>367</v>
      </c>
      <c r="L83" s="79">
        <v>63</v>
      </c>
      <c r="M83" s="79">
        <v>12</v>
      </c>
      <c r="N83" s="80">
        <v>7.9379999999999997</v>
      </c>
      <c r="O83" s="79">
        <v>5140</v>
      </c>
      <c r="P83" s="79">
        <v>14570</v>
      </c>
      <c r="Q83" s="79">
        <v>122</v>
      </c>
      <c r="R83" s="79">
        <v>147</v>
      </c>
      <c r="S83" s="78" t="s">
        <v>43</v>
      </c>
      <c r="T83" s="89" t="s">
        <v>149</v>
      </c>
      <c r="V83" s="85">
        <v>22.5</v>
      </c>
      <c r="W83" s="86">
        <v>1500</v>
      </c>
      <c r="X83" s="85">
        <v>142</v>
      </c>
      <c r="Y83" s="85">
        <v>42.6</v>
      </c>
      <c r="Z83" s="86">
        <v>4000</v>
      </c>
      <c r="AA83" s="88">
        <v>383.4</v>
      </c>
      <c r="AB83" s="38">
        <v>0</v>
      </c>
      <c r="AC83" s="85">
        <v>110</v>
      </c>
      <c r="AD83" s="87">
        <v>42</v>
      </c>
      <c r="AE83" s="88">
        <v>80</v>
      </c>
      <c r="AF83" s="78" t="s">
        <v>485</v>
      </c>
    </row>
    <row r="84" spans="1:32" ht="16.2" x14ac:dyDescent="0.3">
      <c r="A84" s="4"/>
      <c r="E84" s="16"/>
      <c r="F84" s="16"/>
      <c r="G84" s="16"/>
      <c r="K84" s="78" t="s">
        <v>368</v>
      </c>
      <c r="L84" s="79">
        <v>63</v>
      </c>
      <c r="M84" s="79">
        <v>12</v>
      </c>
      <c r="N84" s="80">
        <v>7.9379999999999997</v>
      </c>
      <c r="O84" s="79">
        <v>6580</v>
      </c>
      <c r="P84" s="79">
        <v>19430</v>
      </c>
      <c r="Q84" s="79">
        <v>161</v>
      </c>
      <c r="R84" s="79">
        <v>171</v>
      </c>
      <c r="S84" s="78" t="s">
        <v>43</v>
      </c>
      <c r="T84" s="89" t="s">
        <v>542</v>
      </c>
      <c r="V84" s="85">
        <v>45</v>
      </c>
      <c r="W84" s="86">
        <v>3000</v>
      </c>
      <c r="X84" s="85">
        <v>142</v>
      </c>
      <c r="Y84" s="85">
        <v>85.2</v>
      </c>
      <c r="Z84" s="86">
        <v>4000</v>
      </c>
      <c r="AA84" s="88">
        <v>383.4</v>
      </c>
      <c r="AB84" s="38">
        <v>0</v>
      </c>
      <c r="AC84" s="85">
        <v>110</v>
      </c>
      <c r="AD84" s="87">
        <v>42</v>
      </c>
      <c r="AE84" s="88">
        <v>80</v>
      </c>
      <c r="AF84" s="78" t="s">
        <v>485</v>
      </c>
    </row>
    <row r="85" spans="1:32" ht="16.2" x14ac:dyDescent="0.3">
      <c r="A85" s="10"/>
      <c r="E85" s="16"/>
      <c r="F85" s="16"/>
      <c r="G85" s="16"/>
      <c r="K85" s="78" t="s">
        <v>369</v>
      </c>
      <c r="L85" s="79">
        <v>63</v>
      </c>
      <c r="M85" s="79">
        <v>20</v>
      </c>
      <c r="N85" s="80">
        <v>9.5250000000000004</v>
      </c>
      <c r="O85" s="79">
        <v>5990</v>
      </c>
      <c r="P85" s="79">
        <v>15740</v>
      </c>
      <c r="Q85" s="79">
        <v>107</v>
      </c>
      <c r="R85" s="79">
        <v>95</v>
      </c>
      <c r="S85" s="78" t="s">
        <v>43</v>
      </c>
      <c r="T85" s="89" t="s">
        <v>147</v>
      </c>
      <c r="V85" s="85">
        <v>17</v>
      </c>
      <c r="W85" s="86">
        <v>1500</v>
      </c>
      <c r="X85" s="85">
        <v>105</v>
      </c>
      <c r="Y85" s="85">
        <v>31.5</v>
      </c>
      <c r="Z85" s="86">
        <v>4000</v>
      </c>
      <c r="AA85" s="88">
        <v>210</v>
      </c>
      <c r="AB85" s="38">
        <v>0</v>
      </c>
      <c r="AC85" s="85">
        <v>118</v>
      </c>
      <c r="AD85" s="87">
        <v>48</v>
      </c>
      <c r="AE85" s="88">
        <v>110</v>
      </c>
      <c r="AF85" s="78" t="s">
        <v>485</v>
      </c>
    </row>
    <row r="86" spans="1:32" x14ac:dyDescent="0.3">
      <c r="E86" s="16"/>
      <c r="F86" s="16"/>
      <c r="G86" s="16"/>
      <c r="K86" s="78" t="s">
        <v>370</v>
      </c>
      <c r="L86" s="79">
        <v>80</v>
      </c>
      <c r="M86" s="79">
        <v>10</v>
      </c>
      <c r="N86" s="80">
        <v>6.35</v>
      </c>
      <c r="O86" s="79">
        <v>4760</v>
      </c>
      <c r="P86" s="79">
        <v>20090</v>
      </c>
      <c r="Q86" s="79">
        <v>173</v>
      </c>
      <c r="R86" s="79">
        <v>115</v>
      </c>
      <c r="S86" s="78" t="s">
        <v>43</v>
      </c>
      <c r="T86" s="89" t="s">
        <v>543</v>
      </c>
      <c r="V86" s="85">
        <v>33.700000000000003</v>
      </c>
      <c r="W86" s="86">
        <v>3000</v>
      </c>
      <c r="X86" s="85">
        <v>105</v>
      </c>
      <c r="Y86" s="85">
        <v>63</v>
      </c>
      <c r="Z86" s="86">
        <v>4000</v>
      </c>
      <c r="AA86" s="88">
        <v>210</v>
      </c>
      <c r="AB86" s="38">
        <v>0</v>
      </c>
      <c r="AC86" s="85">
        <v>118</v>
      </c>
      <c r="AD86" s="87">
        <v>48</v>
      </c>
      <c r="AE86" s="88">
        <v>110</v>
      </c>
      <c r="AF86" s="78" t="s">
        <v>485</v>
      </c>
    </row>
    <row r="87" spans="1:32" x14ac:dyDescent="0.3">
      <c r="E87" s="16"/>
      <c r="F87" s="16"/>
      <c r="G87" s="16"/>
      <c r="K87" s="78" t="s">
        <v>371</v>
      </c>
      <c r="L87" s="79">
        <v>80</v>
      </c>
      <c r="M87" s="79">
        <v>16</v>
      </c>
      <c r="N87" s="80">
        <v>9.5250000000000004</v>
      </c>
      <c r="O87" s="79">
        <v>11280</v>
      </c>
      <c r="P87" s="79">
        <v>41220</v>
      </c>
      <c r="Q87" s="79">
        <v>201</v>
      </c>
      <c r="R87" s="79">
        <v>175</v>
      </c>
      <c r="S87" s="78" t="s">
        <v>43</v>
      </c>
      <c r="T87" s="89" t="s">
        <v>144</v>
      </c>
      <c r="V87" s="85">
        <v>24</v>
      </c>
      <c r="W87" s="86">
        <v>1500</v>
      </c>
      <c r="X87" s="85">
        <v>153</v>
      </c>
      <c r="Y87" s="85">
        <v>46.5</v>
      </c>
      <c r="Z87" s="86">
        <v>4000</v>
      </c>
      <c r="AA87" s="88">
        <v>306</v>
      </c>
      <c r="AB87" s="38">
        <v>0</v>
      </c>
      <c r="AC87" s="85">
        <v>138</v>
      </c>
      <c r="AD87" s="87">
        <v>48</v>
      </c>
      <c r="AE87" s="88">
        <v>110</v>
      </c>
      <c r="AF87" s="78" t="s">
        <v>485</v>
      </c>
    </row>
    <row r="88" spans="1:32" ht="16.2" x14ac:dyDescent="0.3">
      <c r="A88" s="4" t="s">
        <v>65</v>
      </c>
      <c r="D88" s="11"/>
      <c r="E88" s="16"/>
      <c r="F88" s="16"/>
      <c r="G88" s="16"/>
      <c r="K88" s="78" t="s">
        <v>372</v>
      </c>
      <c r="L88" s="79">
        <v>80</v>
      </c>
      <c r="M88" s="79">
        <v>16</v>
      </c>
      <c r="N88" s="80">
        <v>9.5250000000000004</v>
      </c>
      <c r="O88" s="79">
        <v>7960</v>
      </c>
      <c r="P88" s="79">
        <v>27480</v>
      </c>
      <c r="Q88" s="79">
        <v>137</v>
      </c>
      <c r="R88" s="79">
        <v>159</v>
      </c>
      <c r="S88" s="78" t="s">
        <v>43</v>
      </c>
      <c r="T88" s="89" t="s">
        <v>544</v>
      </c>
      <c r="V88" s="85">
        <v>48</v>
      </c>
      <c r="W88" s="86">
        <v>3000</v>
      </c>
      <c r="X88" s="85">
        <v>153</v>
      </c>
      <c r="Y88" s="85">
        <v>91.5</v>
      </c>
      <c r="Z88" s="86">
        <v>4000</v>
      </c>
      <c r="AA88" s="88">
        <v>306</v>
      </c>
      <c r="AB88" s="38">
        <v>0</v>
      </c>
      <c r="AC88" s="85">
        <v>138</v>
      </c>
      <c r="AD88" s="87">
        <v>48</v>
      </c>
      <c r="AE88" s="88">
        <v>110</v>
      </c>
      <c r="AF88" s="78" t="s">
        <v>485</v>
      </c>
    </row>
    <row r="89" spans="1:32" ht="19.8" x14ac:dyDescent="0.3">
      <c r="A89" s="4" t="s">
        <v>62</v>
      </c>
      <c r="B89" s="11">
        <f>+(MAX(D73:D79)*B14^2/(B98*D53*10^3))^(1/4)</f>
        <v>12.162906815561657</v>
      </c>
      <c r="C89" s="9" t="s">
        <v>19</v>
      </c>
      <c r="D89" s="4" t="s">
        <v>64</v>
      </c>
      <c r="E89" s="14">
        <f>+$B$8</f>
        <v>32</v>
      </c>
      <c r="F89" s="9" t="s">
        <v>19</v>
      </c>
      <c r="G89" s="16"/>
      <c r="K89" s="78" t="s">
        <v>373</v>
      </c>
      <c r="L89" s="79">
        <v>16</v>
      </c>
      <c r="M89" s="79">
        <v>5</v>
      </c>
      <c r="N89" s="80">
        <v>3</v>
      </c>
      <c r="O89" s="79">
        <v>890</v>
      </c>
      <c r="P89" s="79">
        <v>1760</v>
      </c>
      <c r="Q89" s="79">
        <v>27</v>
      </c>
      <c r="R89" s="79">
        <v>41</v>
      </c>
      <c r="S89" s="78" t="s">
        <v>43</v>
      </c>
      <c r="T89" s="89" t="s">
        <v>141</v>
      </c>
      <c r="V89" s="85">
        <v>33.799999999999997</v>
      </c>
      <c r="W89" s="86">
        <v>1500</v>
      </c>
      <c r="X89" s="85">
        <v>215</v>
      </c>
      <c r="Y89" s="85">
        <v>64.5</v>
      </c>
      <c r="Z89" s="86">
        <v>4000</v>
      </c>
      <c r="AA89" s="88">
        <v>430</v>
      </c>
      <c r="AB89" s="38">
        <v>0</v>
      </c>
      <c r="AC89" s="85">
        <v>158</v>
      </c>
      <c r="AD89" s="87">
        <v>48</v>
      </c>
      <c r="AE89" s="88">
        <v>110</v>
      </c>
      <c r="AF89" s="78" t="s">
        <v>485</v>
      </c>
    </row>
    <row r="90" spans="1:32" x14ac:dyDescent="0.3">
      <c r="E90" s="16"/>
      <c r="F90" s="16"/>
      <c r="G90" s="16"/>
      <c r="K90" s="78" t="s">
        <v>374</v>
      </c>
      <c r="L90" s="79">
        <v>20</v>
      </c>
      <c r="M90" s="79">
        <v>10</v>
      </c>
      <c r="N90" s="80">
        <v>3.1749999999999998</v>
      </c>
      <c r="O90" s="79">
        <v>990</v>
      </c>
      <c r="P90" s="79">
        <v>2220</v>
      </c>
      <c r="Q90" s="79">
        <v>33</v>
      </c>
      <c r="R90" s="79">
        <v>47</v>
      </c>
      <c r="S90" s="78" t="s">
        <v>319</v>
      </c>
      <c r="T90" s="89" t="s">
        <v>545</v>
      </c>
      <c r="V90" s="85">
        <v>67.5</v>
      </c>
      <c r="W90" s="86">
        <v>3000</v>
      </c>
      <c r="X90" s="85">
        <v>215</v>
      </c>
      <c r="Y90" s="85">
        <v>129</v>
      </c>
      <c r="Z90" s="86">
        <v>4000</v>
      </c>
      <c r="AA90" s="88">
        <v>430</v>
      </c>
      <c r="AB90" s="38">
        <v>0</v>
      </c>
      <c r="AC90" s="85">
        <v>158</v>
      </c>
      <c r="AD90" s="87">
        <v>48</v>
      </c>
      <c r="AE90" s="88">
        <v>110</v>
      </c>
      <c r="AF90" s="78" t="s">
        <v>485</v>
      </c>
    </row>
    <row r="91" spans="1:32" x14ac:dyDescent="0.3">
      <c r="E91" s="16"/>
      <c r="F91" s="16"/>
      <c r="G91" s="16"/>
      <c r="K91" s="78" t="s">
        <v>375</v>
      </c>
      <c r="L91" s="79">
        <v>20</v>
      </c>
      <c r="M91" s="79">
        <v>10</v>
      </c>
      <c r="N91" s="80">
        <v>4.7619999999999996</v>
      </c>
      <c r="O91" s="79">
        <v>2560</v>
      </c>
      <c r="P91" s="79">
        <v>5530</v>
      </c>
      <c r="Q91" s="79">
        <v>47</v>
      </c>
      <c r="R91" s="79">
        <v>62</v>
      </c>
      <c r="S91" s="9" t="s">
        <v>51</v>
      </c>
      <c r="T91" s="89" t="s">
        <v>139</v>
      </c>
      <c r="V91" s="85">
        <v>41.3</v>
      </c>
      <c r="W91" s="86">
        <v>1500</v>
      </c>
      <c r="X91" s="85">
        <v>263</v>
      </c>
      <c r="Y91" s="85">
        <v>78.900000000000006</v>
      </c>
      <c r="Z91" s="86">
        <v>4000</v>
      </c>
      <c r="AA91" s="88">
        <v>526</v>
      </c>
      <c r="AB91" s="38">
        <v>0</v>
      </c>
      <c r="AC91" s="85">
        <v>178</v>
      </c>
      <c r="AD91" s="87">
        <v>48</v>
      </c>
      <c r="AE91" s="88">
        <v>110</v>
      </c>
      <c r="AF91" s="78" t="s">
        <v>485</v>
      </c>
    </row>
    <row r="92" spans="1:32" ht="16.2" x14ac:dyDescent="0.3">
      <c r="A92" s="4" t="s">
        <v>60</v>
      </c>
      <c r="B92" s="10"/>
      <c r="E92" s="16"/>
      <c r="F92" s="16"/>
      <c r="G92" s="16"/>
      <c r="K92" s="78" t="s">
        <v>376</v>
      </c>
      <c r="L92" s="79">
        <v>20</v>
      </c>
      <c r="M92" s="79">
        <v>20</v>
      </c>
      <c r="N92" s="80">
        <v>3.1749999999999998</v>
      </c>
      <c r="O92" s="79">
        <v>670</v>
      </c>
      <c r="P92" s="79">
        <v>1450</v>
      </c>
      <c r="Q92" s="79">
        <v>23</v>
      </c>
      <c r="R92" s="79">
        <v>56</v>
      </c>
      <c r="S92" s="78" t="s">
        <v>319</v>
      </c>
      <c r="T92" s="89" t="s">
        <v>546</v>
      </c>
      <c r="V92" s="85">
        <v>82.5</v>
      </c>
      <c r="W92" s="86">
        <v>3000</v>
      </c>
      <c r="X92" s="85">
        <v>263</v>
      </c>
      <c r="Y92" s="85">
        <v>157.80000000000001</v>
      </c>
      <c r="Z92" s="86">
        <v>4000</v>
      </c>
      <c r="AA92" s="88">
        <v>526</v>
      </c>
      <c r="AB92" s="38">
        <v>0</v>
      </c>
      <c r="AC92" s="85">
        <v>178</v>
      </c>
      <c r="AD92" s="87">
        <v>48</v>
      </c>
      <c r="AE92" s="88">
        <v>110</v>
      </c>
      <c r="AF92" s="78" t="s">
        <v>485</v>
      </c>
    </row>
    <row r="93" spans="1:32" ht="16.2" x14ac:dyDescent="0.3">
      <c r="A93" s="30" t="s">
        <v>59</v>
      </c>
      <c r="B93" s="76" t="s">
        <v>4</v>
      </c>
      <c r="C93" s="76" t="s">
        <v>0</v>
      </c>
      <c r="E93" s="16"/>
      <c r="F93" s="16"/>
      <c r="G93" s="16"/>
      <c r="K93" s="78" t="s">
        <v>377</v>
      </c>
      <c r="L93" s="79">
        <v>25</v>
      </c>
      <c r="M93" s="79">
        <v>10</v>
      </c>
      <c r="N93" s="80">
        <v>3.1749999999999998</v>
      </c>
      <c r="O93" s="79">
        <v>1100</v>
      </c>
      <c r="P93" s="79">
        <v>2810</v>
      </c>
      <c r="Q93" s="79">
        <v>38</v>
      </c>
      <c r="R93" s="79">
        <v>50</v>
      </c>
      <c r="S93" s="78" t="s">
        <v>319</v>
      </c>
      <c r="T93" s="89" t="s">
        <v>136</v>
      </c>
      <c r="V93" s="85">
        <v>48</v>
      </c>
      <c r="W93" s="86">
        <v>1500</v>
      </c>
      <c r="X93" s="85">
        <v>302.7</v>
      </c>
      <c r="Y93" s="85">
        <v>90.6</v>
      </c>
      <c r="Z93" s="86">
        <v>4000</v>
      </c>
      <c r="AA93" s="88">
        <v>605.4</v>
      </c>
      <c r="AB93" s="38">
        <v>0</v>
      </c>
      <c r="AC93" s="85">
        <v>198</v>
      </c>
      <c r="AD93" s="87">
        <v>48</v>
      </c>
      <c r="AE93" s="88">
        <v>110</v>
      </c>
      <c r="AF93" s="78" t="s">
        <v>485</v>
      </c>
    </row>
    <row r="94" spans="1:32" ht="16.2" x14ac:dyDescent="0.3">
      <c r="A94" s="23" t="s">
        <v>58</v>
      </c>
      <c r="B94" s="28">
        <v>5.0999999999999996</v>
      </c>
      <c r="C94" s="28">
        <v>1</v>
      </c>
      <c r="E94" s="16"/>
      <c r="F94" s="16"/>
      <c r="G94" s="16"/>
      <c r="K94" s="78" t="s">
        <v>378</v>
      </c>
      <c r="L94" s="79">
        <v>25</v>
      </c>
      <c r="M94" s="79">
        <v>10</v>
      </c>
      <c r="N94" s="80">
        <v>4.7619999999999996</v>
      </c>
      <c r="O94" s="79">
        <v>2880</v>
      </c>
      <c r="P94" s="79">
        <v>6870</v>
      </c>
      <c r="Q94" s="79">
        <v>55</v>
      </c>
      <c r="R94" s="79">
        <v>63</v>
      </c>
      <c r="S94" s="78" t="s">
        <v>319</v>
      </c>
      <c r="T94" s="89" t="s">
        <v>547</v>
      </c>
      <c r="V94" s="85">
        <v>96</v>
      </c>
      <c r="W94" s="86">
        <v>3000</v>
      </c>
      <c r="X94" s="85">
        <v>302.7</v>
      </c>
      <c r="Y94" s="85">
        <v>181.2</v>
      </c>
      <c r="Z94" s="86">
        <v>4000</v>
      </c>
      <c r="AA94" s="88">
        <v>605.4</v>
      </c>
      <c r="AB94" s="38">
        <v>0</v>
      </c>
      <c r="AC94" s="85">
        <v>198</v>
      </c>
      <c r="AD94" s="87">
        <v>48</v>
      </c>
      <c r="AE94" s="88">
        <v>110</v>
      </c>
      <c r="AF94" s="78" t="s">
        <v>485</v>
      </c>
    </row>
    <row r="95" spans="1:32" ht="16.2" x14ac:dyDescent="0.3">
      <c r="A95" s="71" t="s">
        <v>57</v>
      </c>
      <c r="B95" s="32">
        <v>10.199999999999999</v>
      </c>
      <c r="C95" s="32">
        <v>2</v>
      </c>
      <c r="E95" s="16"/>
      <c r="F95" s="16"/>
      <c r="G95" s="16"/>
      <c r="K95" s="78" t="s">
        <v>379</v>
      </c>
      <c r="L95" s="79">
        <v>25</v>
      </c>
      <c r="M95" s="79">
        <v>10</v>
      </c>
      <c r="N95" s="80">
        <v>6.35</v>
      </c>
      <c r="O95" s="79">
        <v>5050</v>
      </c>
      <c r="P95" s="79">
        <v>11500</v>
      </c>
      <c r="Q95" s="79">
        <v>72</v>
      </c>
      <c r="R95" s="79">
        <v>78</v>
      </c>
      <c r="S95" s="78" t="s">
        <v>319</v>
      </c>
      <c r="T95" s="89" t="s">
        <v>134</v>
      </c>
      <c r="V95" s="85">
        <v>56.3</v>
      </c>
      <c r="W95" s="86">
        <v>1500</v>
      </c>
      <c r="X95" s="85">
        <v>354.7</v>
      </c>
      <c r="Y95" s="85">
        <v>106.5</v>
      </c>
      <c r="Z95" s="86">
        <v>4000</v>
      </c>
      <c r="AA95" s="88">
        <v>709.4</v>
      </c>
      <c r="AB95" s="38">
        <v>0</v>
      </c>
      <c r="AC95" s="85">
        <v>218</v>
      </c>
      <c r="AD95" s="87">
        <v>48</v>
      </c>
      <c r="AE95" s="88">
        <v>110</v>
      </c>
      <c r="AF95" s="78" t="s">
        <v>485</v>
      </c>
    </row>
    <row r="96" spans="1:32" ht="16.2" x14ac:dyDescent="0.3">
      <c r="A96" s="72" t="s">
        <v>56</v>
      </c>
      <c r="B96" s="73">
        <v>1.3</v>
      </c>
      <c r="C96" s="73">
        <v>0.25</v>
      </c>
      <c r="E96" s="16"/>
      <c r="F96" s="16"/>
      <c r="G96" s="16"/>
      <c r="K96" s="78" t="s">
        <v>380</v>
      </c>
      <c r="L96" s="79">
        <v>25</v>
      </c>
      <c r="M96" s="79">
        <v>15</v>
      </c>
      <c r="N96" s="80">
        <v>3.1749999999999998</v>
      </c>
      <c r="O96" s="79">
        <v>1410</v>
      </c>
      <c r="P96" s="79">
        <v>3780</v>
      </c>
      <c r="Q96" s="79">
        <v>50</v>
      </c>
      <c r="R96" s="79">
        <v>81</v>
      </c>
      <c r="S96" s="78" t="s">
        <v>319</v>
      </c>
      <c r="T96" s="89" t="s">
        <v>548</v>
      </c>
      <c r="V96" s="85">
        <v>112.5</v>
      </c>
      <c r="W96" s="86">
        <v>3000</v>
      </c>
      <c r="X96" s="85">
        <v>354.7</v>
      </c>
      <c r="Y96" s="85">
        <v>213</v>
      </c>
      <c r="Z96" s="86">
        <v>4000</v>
      </c>
      <c r="AA96" s="88">
        <v>709.4</v>
      </c>
      <c r="AB96" s="38">
        <v>0</v>
      </c>
      <c r="AC96" s="85">
        <v>218</v>
      </c>
      <c r="AD96" s="87">
        <v>48</v>
      </c>
      <c r="AE96" s="88">
        <v>110</v>
      </c>
      <c r="AF96" s="78" t="s">
        <v>485</v>
      </c>
    </row>
    <row r="97" spans="1:32" ht="16.2" x14ac:dyDescent="0.3">
      <c r="A97" s="23" t="s">
        <v>55</v>
      </c>
      <c r="B97" s="28">
        <v>20.3</v>
      </c>
      <c r="C97" s="28">
        <v>4</v>
      </c>
      <c r="E97" s="16"/>
      <c r="F97" s="16"/>
      <c r="G97" s="16"/>
      <c r="K97" s="78" t="s">
        <v>381</v>
      </c>
      <c r="L97" s="79">
        <v>25</v>
      </c>
      <c r="M97" s="79">
        <v>16</v>
      </c>
      <c r="N97" s="80">
        <v>4.7619999999999996</v>
      </c>
      <c r="O97" s="79">
        <v>2830</v>
      </c>
      <c r="P97" s="79">
        <v>6790</v>
      </c>
      <c r="Q97" s="79">
        <v>55</v>
      </c>
      <c r="R97" s="79">
        <v>85</v>
      </c>
      <c r="S97" s="78" t="s">
        <v>319</v>
      </c>
      <c r="T97" s="89" t="s">
        <v>131</v>
      </c>
      <c r="V97" s="85">
        <v>61.5</v>
      </c>
      <c r="W97" s="86">
        <v>1500</v>
      </c>
      <c r="X97" s="85">
        <v>387.7</v>
      </c>
      <c r="Y97" s="85">
        <v>116.3</v>
      </c>
      <c r="Z97" s="86">
        <v>4000</v>
      </c>
      <c r="AA97" s="88">
        <v>775.4</v>
      </c>
      <c r="AB97" s="38">
        <v>0</v>
      </c>
      <c r="AC97" s="85">
        <v>238</v>
      </c>
      <c r="AD97" s="87">
        <v>48</v>
      </c>
      <c r="AE97" s="88">
        <v>110</v>
      </c>
      <c r="AF97" s="78" t="s">
        <v>485</v>
      </c>
    </row>
    <row r="98" spans="1:32" x14ac:dyDescent="0.3">
      <c r="A98" s="31" t="s">
        <v>4</v>
      </c>
      <c r="B98" s="16">
        <f>INDEX($A$94:$C$97,MATCH($A$93,$A$94:$A$97),2)</f>
        <v>10.199999999999999</v>
      </c>
      <c r="C98" s="18"/>
      <c r="E98" s="16"/>
      <c r="F98" s="16"/>
      <c r="G98" s="16"/>
      <c r="K98" s="78" t="s">
        <v>382</v>
      </c>
      <c r="L98" s="79">
        <v>25</v>
      </c>
      <c r="M98" s="79">
        <v>25</v>
      </c>
      <c r="N98" s="80">
        <v>3.1749999999999998</v>
      </c>
      <c r="O98" s="79">
        <v>730</v>
      </c>
      <c r="P98" s="79">
        <v>1810</v>
      </c>
      <c r="Q98" s="79">
        <v>26</v>
      </c>
      <c r="R98" s="79">
        <v>71</v>
      </c>
      <c r="S98" s="78" t="s">
        <v>319</v>
      </c>
      <c r="T98" s="89" t="s">
        <v>549</v>
      </c>
      <c r="V98" s="85">
        <v>123</v>
      </c>
      <c r="W98" s="86">
        <v>3000</v>
      </c>
      <c r="X98" s="85">
        <v>387.7</v>
      </c>
      <c r="Y98" s="85">
        <v>232.5</v>
      </c>
      <c r="Z98" s="86">
        <v>4000</v>
      </c>
      <c r="AA98" s="88">
        <v>775.4</v>
      </c>
      <c r="AB98" s="38">
        <v>0</v>
      </c>
      <c r="AC98" s="85">
        <v>238</v>
      </c>
      <c r="AD98" s="87">
        <v>48</v>
      </c>
      <c r="AE98" s="88">
        <v>110</v>
      </c>
      <c r="AF98" s="78" t="s">
        <v>485</v>
      </c>
    </row>
    <row r="99" spans="1:32" x14ac:dyDescent="0.3">
      <c r="A99" s="31" t="s">
        <v>0</v>
      </c>
      <c r="B99" s="16">
        <f>INDEX($A$94:$C$97,MATCH($A$93,$A$94:$A$97),3)</f>
        <v>2</v>
      </c>
      <c r="C99" s="18"/>
      <c r="E99" s="16"/>
      <c r="F99" s="16"/>
      <c r="G99" s="16"/>
      <c r="K99" s="78" t="s">
        <v>383</v>
      </c>
      <c r="L99" s="79">
        <v>28</v>
      </c>
      <c r="M99" s="79">
        <v>10</v>
      </c>
      <c r="N99" s="80">
        <v>4.7619999999999996</v>
      </c>
      <c r="O99" s="79">
        <v>2350</v>
      </c>
      <c r="P99" s="79">
        <v>5720</v>
      </c>
      <c r="Q99" s="79">
        <v>46</v>
      </c>
      <c r="R99" s="79">
        <v>52</v>
      </c>
      <c r="S99" s="78" t="s">
        <v>319</v>
      </c>
      <c r="T99" s="89" t="s">
        <v>128</v>
      </c>
      <c r="V99" s="85">
        <v>0.6</v>
      </c>
      <c r="W99" s="86">
        <v>3000</v>
      </c>
      <c r="X99" s="85">
        <v>2</v>
      </c>
      <c r="Y99" s="85">
        <v>4</v>
      </c>
      <c r="Z99" s="86">
        <v>7000</v>
      </c>
      <c r="AA99" s="85">
        <v>4</v>
      </c>
      <c r="AB99" s="38">
        <v>0</v>
      </c>
      <c r="AC99" s="85">
        <v>4.2</v>
      </c>
      <c r="AD99" s="87">
        <v>19</v>
      </c>
      <c r="AE99" s="88">
        <v>55</v>
      </c>
      <c r="AF99" s="78" t="s">
        <v>485</v>
      </c>
    </row>
    <row r="100" spans="1:32" x14ac:dyDescent="0.3">
      <c r="E100" s="16"/>
      <c r="F100" s="16"/>
      <c r="G100" s="16"/>
      <c r="K100" s="78" t="s">
        <v>384</v>
      </c>
      <c r="L100" s="79">
        <v>28</v>
      </c>
      <c r="M100" s="79">
        <v>10</v>
      </c>
      <c r="N100" s="80">
        <v>6.35</v>
      </c>
      <c r="O100" s="79">
        <v>5280</v>
      </c>
      <c r="P100" s="79">
        <v>12530</v>
      </c>
      <c r="Q100" s="79">
        <v>77</v>
      </c>
      <c r="R100" s="79">
        <v>78</v>
      </c>
      <c r="S100" s="78" t="s">
        <v>319</v>
      </c>
      <c r="T100" s="89" t="s">
        <v>125</v>
      </c>
      <c r="V100" s="85">
        <v>1.2</v>
      </c>
      <c r="W100" s="86">
        <v>3000</v>
      </c>
      <c r="X100" s="85">
        <v>4</v>
      </c>
      <c r="Y100" s="85">
        <v>5</v>
      </c>
      <c r="Z100" s="86">
        <v>7000</v>
      </c>
      <c r="AA100" s="85">
        <v>8</v>
      </c>
      <c r="AB100" s="38">
        <v>0</v>
      </c>
      <c r="AC100" s="85">
        <v>5.2</v>
      </c>
      <c r="AD100" s="87">
        <v>19</v>
      </c>
      <c r="AE100" s="88">
        <v>55</v>
      </c>
      <c r="AF100" s="78" t="s">
        <v>485</v>
      </c>
    </row>
    <row r="101" spans="1:32" ht="16.2" x14ac:dyDescent="0.3">
      <c r="A101" s="4" t="s">
        <v>63</v>
      </c>
      <c r="E101" s="16"/>
      <c r="F101" s="16"/>
      <c r="G101" s="16"/>
      <c r="K101" s="78" t="s">
        <v>385</v>
      </c>
      <c r="L101" s="79">
        <v>32</v>
      </c>
      <c r="M101" s="79">
        <v>10</v>
      </c>
      <c r="N101" s="80">
        <v>3.9689999999999999</v>
      </c>
      <c r="O101" s="79">
        <v>2550</v>
      </c>
      <c r="P101" s="79">
        <v>7500</v>
      </c>
      <c r="Q101" s="79">
        <v>63</v>
      </c>
      <c r="R101" s="79">
        <v>62</v>
      </c>
      <c r="S101" s="78" t="s">
        <v>319</v>
      </c>
      <c r="T101" s="89" t="s">
        <v>123</v>
      </c>
      <c r="V101" s="85">
        <v>1.5</v>
      </c>
      <c r="W101" s="86">
        <v>3000</v>
      </c>
      <c r="X101" s="85">
        <v>5</v>
      </c>
      <c r="Y101" s="85">
        <v>6</v>
      </c>
      <c r="Z101" s="86">
        <v>7000</v>
      </c>
      <c r="AA101" s="85">
        <v>10</v>
      </c>
      <c r="AB101" s="38">
        <v>0</v>
      </c>
      <c r="AC101" s="85">
        <v>5.8</v>
      </c>
      <c r="AD101" s="87">
        <v>19</v>
      </c>
      <c r="AE101" s="88">
        <v>55</v>
      </c>
      <c r="AF101" s="78" t="s">
        <v>485</v>
      </c>
    </row>
    <row r="102" spans="1:32" ht="19.8" x14ac:dyDescent="0.3">
      <c r="A102" s="4" t="s">
        <v>62</v>
      </c>
      <c r="B102" s="11">
        <f>+B32*B14^2/(B113*10^7)</f>
        <v>8.0714460784313733</v>
      </c>
      <c r="C102" s="9" t="s">
        <v>19</v>
      </c>
      <c r="D102" s="4" t="s">
        <v>61</v>
      </c>
      <c r="E102" s="14">
        <f>+$B$8</f>
        <v>32</v>
      </c>
      <c r="F102" s="9" t="s">
        <v>19</v>
      </c>
      <c r="G102" s="16"/>
      <c r="K102" s="78" t="s">
        <v>386</v>
      </c>
      <c r="L102" s="79">
        <v>32</v>
      </c>
      <c r="M102" s="79">
        <v>10</v>
      </c>
      <c r="N102" s="80">
        <v>4.7619999999999996</v>
      </c>
      <c r="O102" s="79">
        <v>3890</v>
      </c>
      <c r="P102" s="79">
        <v>10910</v>
      </c>
      <c r="Q102" s="79">
        <v>80</v>
      </c>
      <c r="R102" s="79">
        <v>77</v>
      </c>
      <c r="S102" s="78" t="s">
        <v>319</v>
      </c>
      <c r="T102" s="89" t="s">
        <v>121</v>
      </c>
      <c r="V102" s="85">
        <v>1.2</v>
      </c>
      <c r="W102" s="86">
        <v>2000</v>
      </c>
      <c r="X102" s="85">
        <v>6</v>
      </c>
      <c r="Y102" s="85">
        <v>6</v>
      </c>
      <c r="Z102" s="86">
        <v>7000</v>
      </c>
      <c r="AA102" s="85">
        <v>12</v>
      </c>
      <c r="AB102" s="38">
        <v>0</v>
      </c>
      <c r="AC102" s="85">
        <v>6.4</v>
      </c>
      <c r="AD102" s="87">
        <v>19</v>
      </c>
      <c r="AE102" s="88">
        <v>55</v>
      </c>
      <c r="AF102" s="78" t="s">
        <v>485</v>
      </c>
    </row>
    <row r="103" spans="1:32" ht="16.2" x14ac:dyDescent="0.3">
      <c r="A103" s="10"/>
      <c r="E103" s="16"/>
      <c r="F103" s="16"/>
      <c r="G103" s="16"/>
      <c r="K103" s="78" t="s">
        <v>387</v>
      </c>
      <c r="L103" s="79">
        <v>32</v>
      </c>
      <c r="M103" s="79">
        <v>10</v>
      </c>
      <c r="N103" s="80">
        <v>5.556</v>
      </c>
      <c r="O103" s="79">
        <v>4900</v>
      </c>
      <c r="P103" s="79">
        <v>13360</v>
      </c>
      <c r="Q103" s="79">
        <v>84</v>
      </c>
      <c r="R103" s="79">
        <v>78</v>
      </c>
      <c r="S103" s="78" t="s">
        <v>319</v>
      </c>
      <c r="T103" s="89" t="s">
        <v>119</v>
      </c>
      <c r="V103" s="85">
        <v>1.6</v>
      </c>
      <c r="W103" s="86">
        <v>3000</v>
      </c>
      <c r="X103" s="85">
        <v>6</v>
      </c>
      <c r="Y103" s="85">
        <v>8</v>
      </c>
      <c r="Z103" s="86">
        <v>7000</v>
      </c>
      <c r="AA103" s="85">
        <v>12</v>
      </c>
      <c r="AB103" s="38">
        <v>0</v>
      </c>
      <c r="AC103" s="85">
        <v>6.4</v>
      </c>
      <c r="AD103" s="87">
        <v>19</v>
      </c>
      <c r="AE103" s="88">
        <v>55</v>
      </c>
      <c r="AF103" s="78" t="s">
        <v>485</v>
      </c>
    </row>
    <row r="104" spans="1:32" ht="16.2" x14ac:dyDescent="0.3">
      <c r="A104" s="4"/>
      <c r="E104" s="16"/>
      <c r="F104" s="16"/>
      <c r="G104" s="16"/>
      <c r="K104" s="78" t="s">
        <v>388</v>
      </c>
      <c r="L104" s="79">
        <v>32</v>
      </c>
      <c r="M104" s="79">
        <v>10</v>
      </c>
      <c r="N104" s="80">
        <v>6.35</v>
      </c>
      <c r="O104" s="79">
        <v>5720</v>
      </c>
      <c r="P104" s="79">
        <v>14490</v>
      </c>
      <c r="Q104" s="79">
        <v>69</v>
      </c>
      <c r="R104" s="79">
        <v>78</v>
      </c>
      <c r="S104" s="78" t="s">
        <v>319</v>
      </c>
      <c r="T104" s="89" t="s">
        <v>116</v>
      </c>
      <c r="V104" s="85">
        <v>1.5</v>
      </c>
      <c r="W104" s="86">
        <v>1500</v>
      </c>
      <c r="X104" s="85">
        <v>10</v>
      </c>
      <c r="Y104" s="85">
        <v>6</v>
      </c>
      <c r="Z104" s="86">
        <v>7000</v>
      </c>
      <c r="AA104" s="85">
        <v>12</v>
      </c>
      <c r="AB104" s="38">
        <v>0</v>
      </c>
      <c r="AC104" s="85">
        <v>9.5</v>
      </c>
      <c r="AD104" s="87">
        <v>22</v>
      </c>
      <c r="AE104" s="88">
        <v>56</v>
      </c>
      <c r="AF104" s="78" t="s">
        <v>485</v>
      </c>
    </row>
    <row r="105" spans="1:32" x14ac:dyDescent="0.3">
      <c r="E105" s="16"/>
      <c r="F105" s="16"/>
      <c r="G105" s="16"/>
      <c r="K105" s="78" t="s">
        <v>389</v>
      </c>
      <c r="L105" s="79">
        <v>32</v>
      </c>
      <c r="M105" s="79">
        <v>15</v>
      </c>
      <c r="N105" s="80">
        <v>4.7619999999999996</v>
      </c>
      <c r="O105" s="79">
        <v>3860</v>
      </c>
      <c r="P105" s="79">
        <v>10850</v>
      </c>
      <c r="Q105" s="79">
        <v>80</v>
      </c>
      <c r="R105" s="79">
        <v>116</v>
      </c>
      <c r="S105" s="78" t="s">
        <v>319</v>
      </c>
      <c r="T105" s="89" t="s">
        <v>113</v>
      </c>
      <c r="V105" s="85">
        <v>2.6</v>
      </c>
      <c r="W105" s="86">
        <v>2500</v>
      </c>
      <c r="X105" s="85">
        <v>10</v>
      </c>
      <c r="Y105" s="85">
        <v>10</v>
      </c>
      <c r="Z105" s="86">
        <v>7000</v>
      </c>
      <c r="AA105" s="85">
        <v>20</v>
      </c>
      <c r="AB105" s="38">
        <v>0</v>
      </c>
      <c r="AC105" s="85">
        <v>11.1</v>
      </c>
      <c r="AD105" s="87">
        <v>22</v>
      </c>
      <c r="AE105" s="88">
        <v>56</v>
      </c>
      <c r="AF105" s="78" t="s">
        <v>485</v>
      </c>
    </row>
    <row r="106" spans="1:32" x14ac:dyDescent="0.3">
      <c r="E106" s="16"/>
      <c r="F106" s="16"/>
      <c r="G106" s="16"/>
      <c r="K106" s="78" t="s">
        <v>390</v>
      </c>
      <c r="L106" s="79">
        <v>32</v>
      </c>
      <c r="M106" s="79">
        <v>16</v>
      </c>
      <c r="N106" s="80">
        <v>5.556</v>
      </c>
      <c r="O106" s="79">
        <v>4860</v>
      </c>
      <c r="P106" s="79">
        <v>13280</v>
      </c>
      <c r="Q106" s="79">
        <v>79</v>
      </c>
      <c r="R106" s="79">
        <v>107</v>
      </c>
      <c r="S106" s="78" t="s">
        <v>319</v>
      </c>
      <c r="T106" s="89" t="s">
        <v>107</v>
      </c>
      <c r="V106" s="85">
        <v>2.2999999999999998</v>
      </c>
      <c r="W106" s="86">
        <v>1500</v>
      </c>
      <c r="X106" s="85">
        <v>15</v>
      </c>
      <c r="Y106" s="85">
        <v>9.5</v>
      </c>
      <c r="Z106" s="86">
        <v>7000</v>
      </c>
      <c r="AA106" s="85">
        <v>20</v>
      </c>
      <c r="AB106" s="38">
        <v>0</v>
      </c>
      <c r="AC106" s="85">
        <v>14.3</v>
      </c>
      <c r="AD106" s="87">
        <v>22</v>
      </c>
      <c r="AE106" s="88">
        <v>56</v>
      </c>
      <c r="AF106" s="78" t="s">
        <v>485</v>
      </c>
    </row>
    <row r="107" spans="1:32" ht="16.2" x14ac:dyDescent="0.3">
      <c r="A107" s="4" t="s">
        <v>60</v>
      </c>
      <c r="B107" s="10"/>
      <c r="E107" s="16"/>
      <c r="F107" s="16"/>
      <c r="G107" s="16"/>
      <c r="K107" s="78" t="s">
        <v>391</v>
      </c>
      <c r="L107" s="79">
        <v>32</v>
      </c>
      <c r="M107" s="79">
        <v>16</v>
      </c>
      <c r="N107" s="80">
        <v>6.35</v>
      </c>
      <c r="O107" s="79">
        <v>4520</v>
      </c>
      <c r="P107" s="79">
        <v>11100</v>
      </c>
      <c r="Q107" s="79">
        <v>54</v>
      </c>
      <c r="R107" s="79">
        <v>92</v>
      </c>
      <c r="S107" s="78" t="s">
        <v>319</v>
      </c>
      <c r="T107" s="89" t="s">
        <v>106</v>
      </c>
      <c r="V107" s="85">
        <v>3.8</v>
      </c>
      <c r="W107" s="86">
        <v>2500</v>
      </c>
      <c r="X107" s="85">
        <v>15</v>
      </c>
      <c r="Y107" s="85">
        <v>17</v>
      </c>
      <c r="Z107" s="86">
        <v>7000</v>
      </c>
      <c r="AA107" s="85">
        <v>34</v>
      </c>
      <c r="AB107" s="38">
        <v>0</v>
      </c>
      <c r="AC107" s="85">
        <v>14.3</v>
      </c>
      <c r="AD107" s="87">
        <v>22</v>
      </c>
      <c r="AE107" s="88">
        <v>56</v>
      </c>
      <c r="AF107" s="78" t="s">
        <v>485</v>
      </c>
    </row>
    <row r="108" spans="1:32" ht="16.2" x14ac:dyDescent="0.3">
      <c r="A108" s="30" t="s">
        <v>59</v>
      </c>
      <c r="B108" s="76" t="s">
        <v>54</v>
      </c>
      <c r="C108" s="76" t="s">
        <v>53</v>
      </c>
      <c r="E108" s="16"/>
      <c r="F108" s="16"/>
      <c r="G108" s="16"/>
      <c r="K108" s="78" t="s">
        <v>392</v>
      </c>
      <c r="L108" s="79">
        <v>32</v>
      </c>
      <c r="M108" s="79">
        <v>20</v>
      </c>
      <c r="N108" s="80">
        <v>4.7619999999999996</v>
      </c>
      <c r="O108" s="79">
        <v>1700</v>
      </c>
      <c r="P108" s="79">
        <v>4230</v>
      </c>
      <c r="Q108" s="79">
        <v>34</v>
      </c>
      <c r="R108" s="79">
        <v>70</v>
      </c>
      <c r="S108" s="78" t="s">
        <v>319</v>
      </c>
      <c r="T108" s="89" t="s">
        <v>103</v>
      </c>
      <c r="V108" s="85">
        <v>4</v>
      </c>
      <c r="W108" s="86">
        <v>3000</v>
      </c>
      <c r="X108" s="85">
        <v>14</v>
      </c>
      <c r="Y108" s="85">
        <v>17</v>
      </c>
      <c r="Z108" s="86">
        <v>7000</v>
      </c>
      <c r="AA108" s="85">
        <v>34</v>
      </c>
      <c r="AB108" s="38">
        <v>0</v>
      </c>
      <c r="AC108" s="85">
        <v>14.3</v>
      </c>
      <c r="AD108" s="87">
        <v>22</v>
      </c>
      <c r="AE108" s="88">
        <v>56</v>
      </c>
      <c r="AF108" s="78" t="s">
        <v>485</v>
      </c>
    </row>
    <row r="109" spans="1:32" ht="16.2" x14ac:dyDescent="0.3">
      <c r="A109" s="23" t="s">
        <v>58</v>
      </c>
      <c r="B109" s="28">
        <v>5.0999999999999996</v>
      </c>
      <c r="C109" s="28">
        <v>1</v>
      </c>
      <c r="E109" s="16"/>
      <c r="F109" s="16"/>
      <c r="G109" s="16"/>
      <c r="K109" s="78" t="s">
        <v>393</v>
      </c>
      <c r="L109" s="79">
        <v>36</v>
      </c>
      <c r="M109" s="79">
        <v>10</v>
      </c>
      <c r="N109" s="80">
        <v>6.35</v>
      </c>
      <c r="O109" s="79">
        <v>6050</v>
      </c>
      <c r="P109" s="79">
        <v>16460</v>
      </c>
      <c r="Q109" s="79">
        <v>93</v>
      </c>
      <c r="R109" s="79">
        <v>78</v>
      </c>
      <c r="S109" s="78" t="s">
        <v>319</v>
      </c>
      <c r="T109" s="89" t="s">
        <v>102</v>
      </c>
      <c r="V109" s="85">
        <v>1</v>
      </c>
      <c r="W109" s="86">
        <v>2500</v>
      </c>
      <c r="X109" s="85">
        <v>4</v>
      </c>
      <c r="Y109" s="85">
        <v>4</v>
      </c>
      <c r="Z109" s="86">
        <v>7000</v>
      </c>
      <c r="AA109" s="85">
        <v>8</v>
      </c>
      <c r="AB109" s="38">
        <v>0</v>
      </c>
      <c r="AC109" s="85">
        <v>7.4</v>
      </c>
      <c r="AD109" s="87">
        <v>22</v>
      </c>
      <c r="AE109" s="88">
        <v>56</v>
      </c>
      <c r="AF109" s="78" t="s">
        <v>485</v>
      </c>
    </row>
    <row r="110" spans="1:32" ht="16.2" x14ac:dyDescent="0.3">
      <c r="A110" s="23" t="s">
        <v>57</v>
      </c>
      <c r="B110" s="28">
        <v>10.199999999999999</v>
      </c>
      <c r="C110" s="28">
        <v>2</v>
      </c>
      <c r="E110" s="16"/>
      <c r="F110" s="16"/>
      <c r="G110" s="16"/>
      <c r="K110" s="78" t="s">
        <v>394</v>
      </c>
      <c r="L110" s="79">
        <v>36</v>
      </c>
      <c r="M110" s="79">
        <v>16</v>
      </c>
      <c r="N110" s="80">
        <v>6.35</v>
      </c>
      <c r="O110" s="79">
        <v>6050</v>
      </c>
      <c r="P110" s="79">
        <v>16360</v>
      </c>
      <c r="Q110" s="79">
        <v>93</v>
      </c>
      <c r="R110" s="79">
        <v>109</v>
      </c>
      <c r="S110" s="78" t="s">
        <v>319</v>
      </c>
      <c r="T110" s="89" t="s">
        <v>101</v>
      </c>
      <c r="V110" s="85">
        <v>1</v>
      </c>
      <c r="W110" s="86">
        <v>2000</v>
      </c>
      <c r="X110" s="85">
        <v>5</v>
      </c>
      <c r="Y110" s="85">
        <v>5</v>
      </c>
      <c r="Z110" s="86">
        <v>7000</v>
      </c>
      <c r="AA110" s="85">
        <v>10</v>
      </c>
      <c r="AB110" s="38">
        <v>0</v>
      </c>
      <c r="AC110" s="85">
        <v>7.9</v>
      </c>
      <c r="AD110" s="87">
        <v>22</v>
      </c>
      <c r="AE110" s="88">
        <v>56</v>
      </c>
      <c r="AF110" s="78" t="s">
        <v>485</v>
      </c>
    </row>
    <row r="111" spans="1:32" ht="16.2" x14ac:dyDescent="0.3">
      <c r="A111" s="23" t="s">
        <v>56</v>
      </c>
      <c r="B111" s="28">
        <v>1.3</v>
      </c>
      <c r="C111" s="28">
        <v>0.25</v>
      </c>
      <c r="E111" s="16"/>
      <c r="F111" s="16"/>
      <c r="G111" s="16"/>
      <c r="K111" s="78" t="s">
        <v>395</v>
      </c>
      <c r="L111" s="79">
        <v>36</v>
      </c>
      <c r="M111" s="79">
        <v>20</v>
      </c>
      <c r="N111" s="80">
        <v>6.35</v>
      </c>
      <c r="O111" s="79">
        <v>4910</v>
      </c>
      <c r="P111" s="79">
        <v>12890</v>
      </c>
      <c r="Q111" s="79">
        <v>76</v>
      </c>
      <c r="R111" s="79">
        <v>109</v>
      </c>
      <c r="S111" s="78" t="s">
        <v>319</v>
      </c>
      <c r="T111" s="89" t="s">
        <v>100</v>
      </c>
      <c r="V111" s="85">
        <v>1.3</v>
      </c>
      <c r="W111" s="86">
        <v>2500</v>
      </c>
      <c r="X111" s="85">
        <v>5</v>
      </c>
      <c r="Y111" s="85">
        <v>5</v>
      </c>
      <c r="Z111" s="86">
        <v>7000</v>
      </c>
      <c r="AA111" s="85">
        <v>10</v>
      </c>
      <c r="AB111" s="38">
        <v>0</v>
      </c>
      <c r="AC111" s="85">
        <v>7.9</v>
      </c>
      <c r="AD111" s="87">
        <v>22</v>
      </c>
      <c r="AE111" s="88">
        <v>56</v>
      </c>
      <c r="AF111" s="78" t="s">
        <v>485</v>
      </c>
    </row>
    <row r="112" spans="1:32" ht="16.2" x14ac:dyDescent="0.3">
      <c r="A112" s="23" t="s">
        <v>55</v>
      </c>
      <c r="B112" s="28">
        <v>20.3</v>
      </c>
      <c r="C112" s="28">
        <v>4</v>
      </c>
      <c r="E112" s="16"/>
      <c r="F112" s="16"/>
      <c r="G112" s="16"/>
      <c r="K112" s="78" t="s">
        <v>396</v>
      </c>
      <c r="L112" s="79">
        <v>38</v>
      </c>
      <c r="M112" s="79">
        <v>10</v>
      </c>
      <c r="N112" s="80">
        <v>6.35</v>
      </c>
      <c r="O112" s="79">
        <v>6260</v>
      </c>
      <c r="P112" s="79">
        <v>17740</v>
      </c>
      <c r="Q112" s="79">
        <v>97</v>
      </c>
      <c r="R112" s="79">
        <v>80</v>
      </c>
      <c r="S112" s="78" t="s">
        <v>319</v>
      </c>
      <c r="T112" s="89" t="s">
        <v>98</v>
      </c>
      <c r="V112" s="85">
        <v>1.5</v>
      </c>
      <c r="W112" s="86">
        <v>2500</v>
      </c>
      <c r="X112" s="85">
        <v>6</v>
      </c>
      <c r="Y112" s="85">
        <v>6</v>
      </c>
      <c r="Z112" s="86">
        <v>7000</v>
      </c>
      <c r="AA112" s="85">
        <v>12</v>
      </c>
      <c r="AB112" s="38">
        <v>0</v>
      </c>
      <c r="AC112" s="85">
        <v>8.6</v>
      </c>
      <c r="AD112" s="87">
        <v>22</v>
      </c>
      <c r="AE112" s="88">
        <v>56</v>
      </c>
      <c r="AF112" s="78" t="s">
        <v>485</v>
      </c>
    </row>
    <row r="113" spans="1:32" x14ac:dyDescent="0.3">
      <c r="A113" s="31" t="s">
        <v>54</v>
      </c>
      <c r="B113" s="16">
        <f>INDEX($A$109:$C$112,MATCH($A$108,$A$109:$A$112),2)</f>
        <v>10.199999999999999</v>
      </c>
      <c r="C113" s="18"/>
      <c r="E113" s="16"/>
      <c r="F113" s="16"/>
      <c r="G113" s="16"/>
      <c r="K113" s="78" t="s">
        <v>397</v>
      </c>
      <c r="L113" s="79">
        <v>38</v>
      </c>
      <c r="M113" s="79">
        <v>16</v>
      </c>
      <c r="N113" s="80">
        <v>6.35</v>
      </c>
      <c r="O113" s="79">
        <v>6220</v>
      </c>
      <c r="P113" s="79">
        <v>17350</v>
      </c>
      <c r="Q113" s="79">
        <v>97</v>
      </c>
      <c r="R113" s="79">
        <v>109</v>
      </c>
      <c r="S113" s="78" t="s">
        <v>319</v>
      </c>
      <c r="T113" s="89" t="s">
        <v>95</v>
      </c>
      <c r="V113" s="85">
        <v>1.6</v>
      </c>
      <c r="W113" s="86">
        <v>2000</v>
      </c>
      <c r="X113" s="85">
        <v>7.7</v>
      </c>
      <c r="Y113" s="85">
        <v>6</v>
      </c>
      <c r="Z113" s="86">
        <v>7000</v>
      </c>
      <c r="AA113" s="85">
        <v>12</v>
      </c>
      <c r="AB113" s="38">
        <v>0</v>
      </c>
      <c r="AC113" s="85">
        <v>9.5</v>
      </c>
      <c r="AD113" s="87">
        <v>22</v>
      </c>
      <c r="AE113" s="88">
        <v>56</v>
      </c>
      <c r="AF113" s="78" t="s">
        <v>485</v>
      </c>
    </row>
    <row r="114" spans="1:32" x14ac:dyDescent="0.3">
      <c r="A114" s="31" t="s">
        <v>53</v>
      </c>
      <c r="B114" s="16">
        <f>INDEX($A$109:$C$112,MATCH($A$108,$A$109:$A$112),3)</f>
        <v>2</v>
      </c>
      <c r="C114" s="18"/>
      <c r="E114" s="16"/>
      <c r="F114" s="16"/>
      <c r="G114" s="16"/>
      <c r="K114" s="78" t="s">
        <v>398</v>
      </c>
      <c r="L114" s="79">
        <v>40</v>
      </c>
      <c r="M114" s="79">
        <v>10</v>
      </c>
      <c r="N114" s="80">
        <v>6.35</v>
      </c>
      <c r="O114" s="79">
        <v>6430</v>
      </c>
      <c r="P114" s="79">
        <v>18440</v>
      </c>
      <c r="Q114" s="79">
        <v>101</v>
      </c>
      <c r="R114" s="79">
        <v>78</v>
      </c>
      <c r="S114" s="78" t="s">
        <v>319</v>
      </c>
      <c r="T114" s="89" t="s">
        <v>94</v>
      </c>
      <c r="V114" s="85">
        <v>2</v>
      </c>
      <c r="W114" s="86">
        <v>2500</v>
      </c>
      <c r="X114" s="85">
        <v>7.7</v>
      </c>
      <c r="Y114" s="85">
        <v>6.9</v>
      </c>
      <c r="Z114" s="86">
        <v>7000</v>
      </c>
      <c r="AA114" s="85">
        <v>14</v>
      </c>
      <c r="AB114" s="38">
        <v>0</v>
      </c>
      <c r="AC114" s="85">
        <v>9.5</v>
      </c>
      <c r="AD114" s="87">
        <v>22</v>
      </c>
      <c r="AE114" s="88">
        <v>48</v>
      </c>
      <c r="AF114" s="78" t="s">
        <v>485</v>
      </c>
    </row>
    <row r="115" spans="1:32" x14ac:dyDescent="0.3">
      <c r="E115" s="16"/>
      <c r="F115" s="16"/>
      <c r="G115" s="16"/>
      <c r="K115" s="78" t="s">
        <v>399</v>
      </c>
      <c r="L115" s="79">
        <v>40</v>
      </c>
      <c r="M115" s="79">
        <v>12</v>
      </c>
      <c r="N115" s="80">
        <v>6</v>
      </c>
      <c r="O115" s="79">
        <v>6420</v>
      </c>
      <c r="P115" s="79">
        <v>18410</v>
      </c>
      <c r="Q115" s="79">
        <v>101</v>
      </c>
      <c r="R115" s="79">
        <v>88</v>
      </c>
      <c r="S115" s="78" t="s">
        <v>43</v>
      </c>
      <c r="T115" s="89" t="s">
        <v>92</v>
      </c>
      <c r="V115" s="85">
        <v>2.4</v>
      </c>
      <c r="W115" s="86">
        <v>3000</v>
      </c>
      <c r="X115" s="85">
        <v>7.7</v>
      </c>
      <c r="Y115" s="85">
        <v>9</v>
      </c>
      <c r="Z115" s="86">
        <v>7000</v>
      </c>
      <c r="AA115" s="85">
        <v>18</v>
      </c>
      <c r="AB115" s="38">
        <v>0</v>
      </c>
      <c r="AC115" s="85">
        <v>9.5</v>
      </c>
      <c r="AD115" s="87">
        <v>22</v>
      </c>
      <c r="AE115" s="88">
        <v>56</v>
      </c>
      <c r="AF115" s="78" t="s">
        <v>485</v>
      </c>
    </row>
    <row r="116" spans="1:32" ht="19.8" x14ac:dyDescent="0.3">
      <c r="A116" s="4" t="s">
        <v>52</v>
      </c>
      <c r="B116" s="15">
        <f>+ROUND(((C73*E73+C74*E74+C75*E75+C76*E76+C77*E77+C78*E78+C79*E79)/(100)),0)</f>
        <v>572</v>
      </c>
      <c r="C116" s="9" t="s">
        <v>15</v>
      </c>
      <c r="D116" s="10"/>
      <c r="G116" s="10"/>
      <c r="K116" s="78" t="s">
        <v>400</v>
      </c>
      <c r="L116" s="79">
        <v>40</v>
      </c>
      <c r="M116" s="79">
        <v>12</v>
      </c>
      <c r="N116" s="80">
        <v>7.1440000000000001</v>
      </c>
      <c r="O116" s="79">
        <v>7530</v>
      </c>
      <c r="P116" s="79">
        <v>20800</v>
      </c>
      <c r="Q116" s="79">
        <v>103</v>
      </c>
      <c r="R116" s="79">
        <v>110</v>
      </c>
      <c r="S116" s="78" t="s">
        <v>319</v>
      </c>
      <c r="T116" s="89" t="s">
        <v>89</v>
      </c>
      <c r="V116" s="85">
        <v>1.7</v>
      </c>
      <c r="W116" s="86">
        <v>1000</v>
      </c>
      <c r="X116" s="85">
        <v>16</v>
      </c>
      <c r="Y116" s="85">
        <v>2.9</v>
      </c>
      <c r="Z116" s="86">
        <v>7000</v>
      </c>
      <c r="AA116" s="85">
        <v>42.1</v>
      </c>
      <c r="AB116" s="38">
        <v>0</v>
      </c>
      <c r="AC116" s="85">
        <v>21</v>
      </c>
      <c r="AD116" s="87">
        <v>24</v>
      </c>
      <c r="AE116" s="88">
        <v>50</v>
      </c>
      <c r="AF116" s="78" t="s">
        <v>485</v>
      </c>
    </row>
    <row r="117" spans="1:32" ht="16.2" x14ac:dyDescent="0.3">
      <c r="A117" s="10"/>
      <c r="K117" s="78" t="s">
        <v>401</v>
      </c>
      <c r="L117" s="79">
        <v>40</v>
      </c>
      <c r="M117" s="79">
        <v>16</v>
      </c>
      <c r="N117" s="80">
        <v>6.35</v>
      </c>
      <c r="O117" s="79">
        <v>6390</v>
      </c>
      <c r="P117" s="79">
        <v>18330</v>
      </c>
      <c r="Q117" s="79">
        <v>101</v>
      </c>
      <c r="R117" s="79">
        <v>108</v>
      </c>
      <c r="S117" s="78" t="s">
        <v>319</v>
      </c>
      <c r="T117" s="89" t="s">
        <v>86</v>
      </c>
      <c r="V117" s="85">
        <v>2.5</v>
      </c>
      <c r="W117" s="86">
        <v>1500</v>
      </c>
      <c r="X117" s="85">
        <v>16</v>
      </c>
      <c r="Y117" s="85">
        <v>4.3</v>
      </c>
      <c r="Z117" s="86">
        <v>7000</v>
      </c>
      <c r="AA117" s="85">
        <v>42.1</v>
      </c>
      <c r="AB117" s="38">
        <v>0</v>
      </c>
      <c r="AC117" s="85">
        <v>21</v>
      </c>
      <c r="AD117" s="87">
        <v>24</v>
      </c>
      <c r="AE117" s="88">
        <v>50</v>
      </c>
      <c r="AF117" s="78" t="s">
        <v>485</v>
      </c>
    </row>
    <row r="118" spans="1:32" x14ac:dyDescent="0.3">
      <c r="K118" s="78" t="s">
        <v>402</v>
      </c>
      <c r="L118" s="79">
        <v>40</v>
      </c>
      <c r="M118" s="79">
        <v>16</v>
      </c>
      <c r="N118" s="80">
        <v>7.1440000000000001</v>
      </c>
      <c r="O118" s="79">
        <v>7500</v>
      </c>
      <c r="P118" s="79">
        <v>20730</v>
      </c>
      <c r="Q118" s="79">
        <v>103</v>
      </c>
      <c r="R118" s="79">
        <v>110</v>
      </c>
      <c r="S118" s="78" t="s">
        <v>319</v>
      </c>
      <c r="T118" s="89" t="s">
        <v>84</v>
      </c>
      <c r="V118" s="85">
        <v>3.3</v>
      </c>
      <c r="W118" s="86">
        <v>2000</v>
      </c>
      <c r="X118" s="85">
        <v>16</v>
      </c>
      <c r="Y118" s="85">
        <v>5.7</v>
      </c>
      <c r="Z118" s="86">
        <v>7000</v>
      </c>
      <c r="AA118" s="85">
        <v>42.1</v>
      </c>
      <c r="AB118" s="38">
        <v>0</v>
      </c>
      <c r="AC118" s="85">
        <v>21</v>
      </c>
      <c r="AD118" s="87">
        <v>24</v>
      </c>
      <c r="AE118" s="88">
        <v>50</v>
      </c>
      <c r="AF118" s="78" t="s">
        <v>485</v>
      </c>
    </row>
    <row r="119" spans="1:32" x14ac:dyDescent="0.3">
      <c r="D119" s="11">
        <f>+((D73^3+G73+D74^3*G74+D75^3*G75+D76^3*G76+D77^3*G77+D78^3*G78+D79^3*G79)/(G80))^(1/3)</f>
        <v>6913.8674710436107</v>
      </c>
      <c r="F119" s="15">
        <f>+D119/$D$53</f>
        <v>704.77751998405813</v>
      </c>
      <c r="K119" s="78" t="s">
        <v>403</v>
      </c>
      <c r="L119" s="79">
        <v>40</v>
      </c>
      <c r="M119" s="79">
        <v>20</v>
      </c>
      <c r="N119" s="80">
        <v>6.35</v>
      </c>
      <c r="O119" s="79">
        <v>5190</v>
      </c>
      <c r="P119" s="79">
        <v>14450</v>
      </c>
      <c r="Q119" s="79">
        <v>82</v>
      </c>
      <c r="R119" s="79">
        <v>110</v>
      </c>
      <c r="S119" s="78" t="s">
        <v>319</v>
      </c>
      <c r="T119" s="89" t="s">
        <v>84</v>
      </c>
      <c r="V119" s="85">
        <v>3.3</v>
      </c>
      <c r="W119" s="86">
        <v>2000</v>
      </c>
      <c r="X119" s="85">
        <v>16</v>
      </c>
      <c r="Y119" s="85">
        <v>5.7</v>
      </c>
      <c r="Z119" s="86">
        <v>7000</v>
      </c>
      <c r="AA119" s="85">
        <v>42.1</v>
      </c>
      <c r="AB119" s="38">
        <v>0</v>
      </c>
      <c r="AC119" s="85">
        <v>21</v>
      </c>
      <c r="AD119" s="87">
        <v>24</v>
      </c>
      <c r="AE119" s="88">
        <v>50</v>
      </c>
      <c r="AF119" s="78" t="s">
        <v>485</v>
      </c>
    </row>
    <row r="120" spans="1:32" ht="19.8" x14ac:dyDescent="0.3">
      <c r="A120" s="13" t="s">
        <v>50</v>
      </c>
      <c r="B120" s="15">
        <f>+ROUND((D73^3*(C73/B116)*(E73/100)*2^3+D74^3*(C74/B116)*(E74/100)*1.1^3+D75^3*(C75/B116)*(E75/100)*1.1^3+D76^3*(C76/B116)*(E76/100)*2^3+D77^3*(C77/B116)*(E77/100)*1.1^3+D78^3*(C78/B116)*(E78/100)*1.1^3+D79^3*(C79/B116)*(E79/100)*1.1^3)^(1/3)/D53,0)</f>
        <v>886</v>
      </c>
      <c r="C120" s="9" t="s">
        <v>40</v>
      </c>
      <c r="D120" s="15">
        <f>+ROUND(((D73^3*C73*F73+D74^3*C74*F74+D75^3*C75*F75+D76^3*C76*F76+D77^3*C77*F77+D78^3*C78*F78+D79^3*C79*F79)/(C73*F73+C74*F74+C75*F75+C76*F76+C77*F77+C78*F78+C79*F79))^(1/3),0)</f>
        <v>6964</v>
      </c>
      <c r="E120" s="9" t="s">
        <v>0</v>
      </c>
      <c r="F120" s="15">
        <f>+D120/$D$53</f>
        <v>709.88786952089697</v>
      </c>
      <c r="G120" s="9" t="s">
        <v>40</v>
      </c>
      <c r="K120" s="78" t="s">
        <v>404</v>
      </c>
      <c r="L120" s="79">
        <v>45</v>
      </c>
      <c r="M120" s="79">
        <v>10</v>
      </c>
      <c r="N120" s="80">
        <v>6.35</v>
      </c>
      <c r="O120" s="79">
        <v>6910</v>
      </c>
      <c r="P120" s="79">
        <v>21330</v>
      </c>
      <c r="Q120" s="79">
        <v>110</v>
      </c>
      <c r="R120" s="79">
        <v>78</v>
      </c>
      <c r="S120" s="78" t="s">
        <v>43</v>
      </c>
      <c r="T120" s="89" t="s">
        <v>84</v>
      </c>
      <c r="V120" s="85">
        <v>3.3</v>
      </c>
      <c r="W120" s="86">
        <v>2000</v>
      </c>
      <c r="X120" s="85">
        <v>16</v>
      </c>
      <c r="Y120" s="85">
        <v>5.7</v>
      </c>
      <c r="Z120" s="86">
        <v>7000</v>
      </c>
      <c r="AA120" s="85">
        <v>42.1</v>
      </c>
      <c r="AB120" s="38">
        <v>0</v>
      </c>
      <c r="AC120" s="85">
        <v>21</v>
      </c>
      <c r="AD120" s="87">
        <v>24</v>
      </c>
      <c r="AE120" s="88">
        <v>50</v>
      </c>
      <c r="AF120" s="78" t="s">
        <v>485</v>
      </c>
    </row>
    <row r="121" spans="1:32" ht="16.2" x14ac:dyDescent="0.3">
      <c r="A121" s="10"/>
      <c r="D121" s="10"/>
      <c r="K121" s="78" t="s">
        <v>405</v>
      </c>
      <c r="L121" s="79">
        <v>45</v>
      </c>
      <c r="M121" s="79">
        <v>12</v>
      </c>
      <c r="N121" s="80">
        <v>6.35</v>
      </c>
      <c r="O121" s="79">
        <v>6910</v>
      </c>
      <c r="P121" s="79">
        <v>21310</v>
      </c>
      <c r="Q121" s="79">
        <v>110</v>
      </c>
      <c r="R121" s="79">
        <v>89</v>
      </c>
      <c r="S121" s="78" t="s">
        <v>43</v>
      </c>
      <c r="T121" s="89" t="s">
        <v>84</v>
      </c>
      <c r="V121" s="85">
        <v>3.3</v>
      </c>
      <c r="W121" s="86">
        <v>2000</v>
      </c>
      <c r="X121" s="85">
        <v>16</v>
      </c>
      <c r="Y121" s="85">
        <v>5.7</v>
      </c>
      <c r="Z121" s="86">
        <v>7000</v>
      </c>
      <c r="AA121" s="85">
        <v>42.1</v>
      </c>
      <c r="AB121" s="38">
        <v>0</v>
      </c>
      <c r="AC121" s="85">
        <v>21</v>
      </c>
      <c r="AD121" s="87">
        <v>24</v>
      </c>
      <c r="AE121" s="88">
        <v>50</v>
      </c>
      <c r="AF121" s="78" t="s">
        <v>485</v>
      </c>
    </row>
    <row r="122" spans="1:32" x14ac:dyDescent="0.3">
      <c r="K122" s="78" t="s">
        <v>406</v>
      </c>
      <c r="L122" s="79">
        <v>45</v>
      </c>
      <c r="M122" s="79">
        <v>16</v>
      </c>
      <c r="N122" s="80">
        <v>6.35</v>
      </c>
      <c r="O122" s="79">
        <v>6880</v>
      </c>
      <c r="P122" s="79">
        <v>21250</v>
      </c>
      <c r="Q122" s="79">
        <v>110</v>
      </c>
      <c r="R122" s="79">
        <v>111</v>
      </c>
      <c r="S122" s="78" t="s">
        <v>43</v>
      </c>
      <c r="T122" s="89" t="s">
        <v>83</v>
      </c>
      <c r="V122" s="85">
        <v>5</v>
      </c>
      <c r="W122" s="86">
        <v>3000</v>
      </c>
      <c r="X122" s="85">
        <v>16</v>
      </c>
      <c r="Y122" s="85">
        <v>8.6</v>
      </c>
      <c r="Z122" s="86">
        <v>7000</v>
      </c>
      <c r="AA122" s="85">
        <v>42.1</v>
      </c>
      <c r="AB122" s="38">
        <v>0</v>
      </c>
      <c r="AC122" s="85">
        <v>21</v>
      </c>
      <c r="AD122" s="87">
        <v>24</v>
      </c>
      <c r="AE122" s="88">
        <v>50</v>
      </c>
      <c r="AF122" s="78" t="s">
        <v>485</v>
      </c>
    </row>
    <row r="123" spans="1:32" ht="16.2" x14ac:dyDescent="0.3">
      <c r="A123" s="10"/>
      <c r="K123" s="78" t="s">
        <v>407</v>
      </c>
      <c r="L123" s="79">
        <v>50</v>
      </c>
      <c r="M123" s="79">
        <v>10</v>
      </c>
      <c r="N123" s="80">
        <v>6.35</v>
      </c>
      <c r="O123" s="79">
        <v>7160</v>
      </c>
      <c r="P123" s="79">
        <v>23320</v>
      </c>
      <c r="Q123" s="79">
        <v>119</v>
      </c>
      <c r="R123" s="79">
        <v>78</v>
      </c>
      <c r="S123" s="78" t="s">
        <v>43</v>
      </c>
      <c r="T123" s="89" t="s">
        <v>82</v>
      </c>
      <c r="V123" s="85">
        <v>7</v>
      </c>
      <c r="W123" s="86">
        <v>1500</v>
      </c>
      <c r="X123" s="85">
        <v>45</v>
      </c>
      <c r="Y123" s="85">
        <v>11.2</v>
      </c>
      <c r="Z123" s="86">
        <v>7000</v>
      </c>
      <c r="AA123" s="85">
        <v>108</v>
      </c>
      <c r="AB123" s="38">
        <v>0</v>
      </c>
      <c r="AC123" s="85">
        <v>30</v>
      </c>
      <c r="AD123" s="87">
        <v>24</v>
      </c>
      <c r="AE123" s="88">
        <v>60</v>
      </c>
      <c r="AF123" s="78" t="s">
        <v>485</v>
      </c>
    </row>
    <row r="124" spans="1:32" s="10" customFormat="1" ht="16.2" x14ac:dyDescent="0.3">
      <c r="A124" s="4" t="s">
        <v>49</v>
      </c>
      <c r="B124" s="16"/>
      <c r="C124" s="9"/>
      <c r="K124" s="78" t="s">
        <v>408</v>
      </c>
      <c r="L124" s="79">
        <v>50</v>
      </c>
      <c r="M124" s="79">
        <v>12</v>
      </c>
      <c r="N124" s="80">
        <v>6.35</v>
      </c>
      <c r="O124" s="79">
        <v>7150</v>
      </c>
      <c r="P124" s="79">
        <v>23300</v>
      </c>
      <c r="Q124" s="79">
        <v>119</v>
      </c>
      <c r="R124" s="79">
        <v>90</v>
      </c>
      <c r="S124" s="78" t="s">
        <v>43</v>
      </c>
      <c r="T124" s="89" t="s">
        <v>550</v>
      </c>
      <c r="U124" s="9"/>
      <c r="V124" s="85">
        <v>13</v>
      </c>
      <c r="W124" s="87">
        <v>3000</v>
      </c>
      <c r="X124" s="88">
        <v>45</v>
      </c>
      <c r="Y124" s="85">
        <v>22.4</v>
      </c>
      <c r="Z124" s="87">
        <v>7000</v>
      </c>
      <c r="AA124" s="88">
        <v>108</v>
      </c>
      <c r="AB124" s="38">
        <v>0</v>
      </c>
      <c r="AC124" s="85">
        <v>30</v>
      </c>
      <c r="AD124" s="87">
        <v>24</v>
      </c>
      <c r="AE124" s="88">
        <v>60</v>
      </c>
      <c r="AF124" s="78" t="s">
        <v>485</v>
      </c>
    </row>
    <row r="125" spans="1:32" s="10" customFormat="1" ht="19.8" x14ac:dyDescent="0.3">
      <c r="A125" s="30" t="s">
        <v>48</v>
      </c>
      <c r="B125" s="76" t="s">
        <v>47</v>
      </c>
      <c r="C125" s="76" t="s">
        <v>46</v>
      </c>
      <c r="K125" s="78" t="s">
        <v>409</v>
      </c>
      <c r="L125" s="79">
        <v>50</v>
      </c>
      <c r="M125" s="79">
        <v>16</v>
      </c>
      <c r="N125" s="80">
        <v>6.35</v>
      </c>
      <c r="O125" s="79">
        <v>7120</v>
      </c>
      <c r="P125" s="79">
        <v>23250</v>
      </c>
      <c r="Q125" s="79">
        <v>119</v>
      </c>
      <c r="R125" s="79">
        <v>109</v>
      </c>
      <c r="S125" s="78" t="s">
        <v>43</v>
      </c>
      <c r="T125" s="89" t="s">
        <v>80</v>
      </c>
      <c r="U125" s="9"/>
      <c r="V125" s="85">
        <v>7.1</v>
      </c>
      <c r="W125" s="86">
        <v>1500</v>
      </c>
      <c r="X125" s="85">
        <v>45</v>
      </c>
      <c r="Y125" s="85">
        <v>13.5</v>
      </c>
      <c r="Z125" s="86">
        <v>4000</v>
      </c>
      <c r="AA125" s="85">
        <v>121.5</v>
      </c>
      <c r="AB125" s="38">
        <v>0</v>
      </c>
      <c r="AC125" s="85">
        <v>35</v>
      </c>
      <c r="AD125" s="87">
        <v>42</v>
      </c>
      <c r="AE125" s="88">
        <v>80</v>
      </c>
      <c r="AF125" s="78" t="s">
        <v>485</v>
      </c>
    </row>
    <row r="126" spans="1:32" s="10" customFormat="1" ht="16.2" x14ac:dyDescent="0.3">
      <c r="A126" s="23" t="s">
        <v>45</v>
      </c>
      <c r="B126" s="28">
        <v>1.3</v>
      </c>
      <c r="C126" s="28">
        <v>1.8</v>
      </c>
      <c r="K126" s="78" t="s">
        <v>410</v>
      </c>
      <c r="L126" s="79">
        <v>50</v>
      </c>
      <c r="M126" s="79">
        <v>20</v>
      </c>
      <c r="N126" s="80">
        <v>7.9379999999999997</v>
      </c>
      <c r="O126" s="79">
        <v>7810</v>
      </c>
      <c r="P126" s="79">
        <v>22680</v>
      </c>
      <c r="Q126" s="79">
        <v>101</v>
      </c>
      <c r="R126" s="79">
        <v>114</v>
      </c>
      <c r="S126" s="78" t="s">
        <v>43</v>
      </c>
      <c r="T126" s="89" t="s">
        <v>551</v>
      </c>
      <c r="U126" s="9"/>
      <c r="V126" s="85">
        <v>14.25</v>
      </c>
      <c r="W126" s="86">
        <v>3000</v>
      </c>
      <c r="X126" s="85">
        <v>45</v>
      </c>
      <c r="Y126" s="85">
        <v>27</v>
      </c>
      <c r="Z126" s="86">
        <v>4000</v>
      </c>
      <c r="AA126" s="85">
        <v>121.5</v>
      </c>
      <c r="AB126" s="38">
        <v>0</v>
      </c>
      <c r="AC126" s="85">
        <v>35</v>
      </c>
      <c r="AD126" s="87">
        <v>42</v>
      </c>
      <c r="AE126" s="88">
        <v>80</v>
      </c>
      <c r="AF126" s="78" t="s">
        <v>485</v>
      </c>
    </row>
    <row r="127" spans="1:32" s="10" customFormat="1" ht="16.2" x14ac:dyDescent="0.3">
      <c r="A127" s="23" t="s">
        <v>44</v>
      </c>
      <c r="B127" s="28">
        <v>1.1000000000000001</v>
      </c>
      <c r="C127" s="28">
        <v>1.2</v>
      </c>
      <c r="K127" s="78" t="s">
        <v>411</v>
      </c>
      <c r="L127" s="79">
        <v>55</v>
      </c>
      <c r="M127" s="79">
        <v>12</v>
      </c>
      <c r="N127" s="80">
        <v>6.35</v>
      </c>
      <c r="O127" s="79">
        <v>7340</v>
      </c>
      <c r="P127" s="79">
        <v>25280</v>
      </c>
      <c r="Q127" s="79">
        <v>128</v>
      </c>
      <c r="R127" s="79">
        <v>96</v>
      </c>
      <c r="S127" s="78" t="s">
        <v>43</v>
      </c>
      <c r="T127" s="89" t="s">
        <v>552</v>
      </c>
      <c r="U127" s="9"/>
      <c r="V127" s="85">
        <v>8.3000000000000007</v>
      </c>
      <c r="W127" s="86">
        <v>1500</v>
      </c>
      <c r="X127" s="85">
        <v>52</v>
      </c>
      <c r="Y127" s="85">
        <v>15.8</v>
      </c>
      <c r="Z127" s="86">
        <v>4000</v>
      </c>
      <c r="AA127" s="85">
        <v>140.9</v>
      </c>
      <c r="AB127" s="38">
        <v>0</v>
      </c>
      <c r="AC127" s="85">
        <v>45</v>
      </c>
      <c r="AD127" s="87">
        <v>42</v>
      </c>
      <c r="AE127" s="88">
        <v>80</v>
      </c>
      <c r="AF127" s="78" t="s">
        <v>485</v>
      </c>
    </row>
    <row r="128" spans="1:32" s="10" customFormat="1" ht="16.2" x14ac:dyDescent="0.3">
      <c r="A128" s="23" t="s">
        <v>42</v>
      </c>
      <c r="B128" s="28">
        <v>2</v>
      </c>
      <c r="C128" s="28">
        <v>3</v>
      </c>
      <c r="K128" s="78" t="s">
        <v>412</v>
      </c>
      <c r="L128" s="79">
        <v>45</v>
      </c>
      <c r="M128" s="79">
        <v>12</v>
      </c>
      <c r="N128" s="80">
        <v>10</v>
      </c>
      <c r="O128" s="79">
        <v>13600</v>
      </c>
      <c r="P128" s="79">
        <v>35400</v>
      </c>
      <c r="Q128" s="79"/>
      <c r="R128" s="79">
        <v>98</v>
      </c>
      <c r="S128" s="78" t="s">
        <v>43</v>
      </c>
      <c r="T128" s="89" t="s">
        <v>553</v>
      </c>
      <c r="U128" s="9"/>
      <c r="V128" s="85">
        <v>16.5</v>
      </c>
      <c r="W128" s="86">
        <v>3000</v>
      </c>
      <c r="X128" s="85">
        <v>52</v>
      </c>
      <c r="Y128" s="85">
        <v>31.5</v>
      </c>
      <c r="Z128" s="86">
        <v>4000</v>
      </c>
      <c r="AA128" s="85">
        <v>140.9</v>
      </c>
      <c r="AB128" s="38">
        <v>0</v>
      </c>
      <c r="AC128" s="85">
        <v>45</v>
      </c>
      <c r="AD128" s="87">
        <v>42</v>
      </c>
      <c r="AE128" s="88">
        <v>80</v>
      </c>
      <c r="AF128" s="78" t="s">
        <v>485</v>
      </c>
    </row>
    <row r="129" spans="1:32" s="10" customFormat="1" ht="16.8" thickBot="1" x14ac:dyDescent="0.35">
      <c r="A129" s="20"/>
      <c r="B129" s="27"/>
      <c r="C129" s="27"/>
      <c r="D129" s="14">
        <f>+D53*D130</f>
        <v>44782.65</v>
      </c>
      <c r="K129" s="78" t="s">
        <v>413</v>
      </c>
      <c r="L129" s="79">
        <v>45</v>
      </c>
      <c r="M129" s="79">
        <v>16</v>
      </c>
      <c r="N129" s="80">
        <v>10</v>
      </c>
      <c r="O129" s="79">
        <v>13500</v>
      </c>
      <c r="P129" s="79">
        <v>35300</v>
      </c>
      <c r="Q129" s="79"/>
      <c r="R129" s="79">
        <v>122</v>
      </c>
      <c r="S129" s="78" t="s">
        <v>43</v>
      </c>
      <c r="T129" s="78" t="s">
        <v>554</v>
      </c>
      <c r="U129" s="9" t="s">
        <v>564</v>
      </c>
      <c r="V129" s="85">
        <v>0.05</v>
      </c>
      <c r="W129" s="86">
        <v>3000</v>
      </c>
      <c r="X129" s="85">
        <v>0.16</v>
      </c>
      <c r="Y129" s="85">
        <v>0.43</v>
      </c>
      <c r="Z129" s="86">
        <v>6000</v>
      </c>
      <c r="AA129" s="85">
        <v>0.48</v>
      </c>
      <c r="AB129" s="38">
        <v>2.7</v>
      </c>
      <c r="AC129" s="85">
        <v>0.55000000000000004</v>
      </c>
      <c r="AD129" s="87">
        <v>8</v>
      </c>
      <c r="AE129" s="88">
        <v>21.5</v>
      </c>
      <c r="AF129" s="78" t="s">
        <v>555</v>
      </c>
    </row>
    <row r="130" spans="1:32" ht="20.399999999999999" thickBot="1" x14ac:dyDescent="0.35">
      <c r="A130" s="4" t="s">
        <v>41</v>
      </c>
      <c r="B130" s="25">
        <f>+(B69*60*B116)^0.333333333333333*F120*B138*10^-2</f>
        <v>3852.898321419169</v>
      </c>
      <c r="C130" s="9" t="s">
        <v>40</v>
      </c>
      <c r="D130" s="14">
        <f>+B10</f>
        <v>4565</v>
      </c>
      <c r="F130" s="91">
        <f>+B130*D53</f>
        <v>37796.932533122046</v>
      </c>
      <c r="K130" s="78" t="s">
        <v>414</v>
      </c>
      <c r="L130" s="79">
        <v>45</v>
      </c>
      <c r="M130" s="79">
        <v>20</v>
      </c>
      <c r="N130" s="80">
        <v>10</v>
      </c>
      <c r="O130" s="79">
        <v>11000</v>
      </c>
      <c r="P130" s="79">
        <v>27900</v>
      </c>
      <c r="Q130" s="79"/>
      <c r="R130" s="79">
        <v>122</v>
      </c>
      <c r="S130" s="78" t="s">
        <v>43</v>
      </c>
      <c r="T130" s="78" t="s">
        <v>556</v>
      </c>
      <c r="U130" s="9" t="s">
        <v>564</v>
      </c>
      <c r="V130" s="85">
        <v>0.1</v>
      </c>
      <c r="W130" s="86">
        <v>3000</v>
      </c>
      <c r="X130" s="85">
        <v>0.3</v>
      </c>
      <c r="Y130" s="85">
        <v>0.85</v>
      </c>
      <c r="Z130" s="86">
        <v>6000</v>
      </c>
      <c r="AA130" s="85">
        <v>0.96</v>
      </c>
      <c r="AB130" s="38">
        <v>2.7</v>
      </c>
      <c r="AC130" s="85">
        <v>0.67</v>
      </c>
      <c r="AD130" s="87">
        <v>8</v>
      </c>
      <c r="AE130" s="88">
        <v>21.5</v>
      </c>
      <c r="AF130" s="78" t="s">
        <v>555</v>
      </c>
    </row>
    <row r="131" spans="1:32" ht="16.2" x14ac:dyDescent="0.3">
      <c r="A131" s="10"/>
      <c r="K131" s="78" t="s">
        <v>415</v>
      </c>
      <c r="L131" s="79">
        <v>50</v>
      </c>
      <c r="M131" s="79">
        <v>16</v>
      </c>
      <c r="N131" s="80">
        <v>13</v>
      </c>
      <c r="O131" s="79">
        <v>21100</v>
      </c>
      <c r="P131" s="79">
        <v>53700</v>
      </c>
      <c r="Q131" s="79"/>
      <c r="R131" s="79">
        <v>125</v>
      </c>
      <c r="S131" s="78" t="s">
        <v>43</v>
      </c>
      <c r="T131" s="78" t="s">
        <v>557</v>
      </c>
      <c r="U131" s="9" t="s">
        <v>565</v>
      </c>
      <c r="V131" s="85">
        <v>0.2</v>
      </c>
      <c r="W131" s="86">
        <v>3000</v>
      </c>
      <c r="X131" s="85">
        <v>0.64</v>
      </c>
      <c r="Y131" s="85">
        <v>1.7</v>
      </c>
      <c r="Z131" s="86">
        <v>6000</v>
      </c>
      <c r="AA131" s="85">
        <v>1.92</v>
      </c>
      <c r="AB131" s="38">
        <v>5.2</v>
      </c>
      <c r="AC131" s="85">
        <v>1.23</v>
      </c>
      <c r="AD131" s="87">
        <v>14</v>
      </c>
      <c r="AE131" s="88">
        <v>25</v>
      </c>
      <c r="AF131" s="78" t="s">
        <v>555</v>
      </c>
    </row>
    <row r="132" spans="1:32" x14ac:dyDescent="0.3">
      <c r="K132" s="78" t="s">
        <v>416</v>
      </c>
      <c r="L132" s="79">
        <v>50</v>
      </c>
      <c r="M132" s="79">
        <v>20</v>
      </c>
      <c r="N132" s="80">
        <v>13</v>
      </c>
      <c r="O132" s="79">
        <v>17200</v>
      </c>
      <c r="P132" s="79">
        <v>42400</v>
      </c>
      <c r="Q132" s="79"/>
      <c r="R132" s="79">
        <v>124</v>
      </c>
      <c r="S132" s="78" t="s">
        <v>43</v>
      </c>
      <c r="T132" s="78" t="s">
        <v>558</v>
      </c>
      <c r="U132" s="9" t="s">
        <v>566</v>
      </c>
      <c r="V132" s="85">
        <v>0.4</v>
      </c>
      <c r="W132" s="86">
        <v>3000</v>
      </c>
      <c r="X132" s="85">
        <v>1.27</v>
      </c>
      <c r="Y132" s="85">
        <v>2.8</v>
      </c>
      <c r="Z132" s="86">
        <v>6000</v>
      </c>
      <c r="AA132" s="85">
        <v>3.81</v>
      </c>
      <c r="AB132" s="38">
        <v>9</v>
      </c>
      <c r="AC132" s="85">
        <v>1.59</v>
      </c>
      <c r="AD132" s="87">
        <v>14</v>
      </c>
      <c r="AE132" s="88">
        <v>25</v>
      </c>
      <c r="AF132" s="78" t="s">
        <v>555</v>
      </c>
    </row>
    <row r="133" spans="1:32" ht="15.6" thickBot="1" x14ac:dyDescent="0.35">
      <c r="K133" s="78" t="s">
        <v>417</v>
      </c>
      <c r="L133" s="79">
        <v>63</v>
      </c>
      <c r="M133" s="79">
        <v>32</v>
      </c>
      <c r="N133" s="80">
        <v>16</v>
      </c>
      <c r="O133" s="79">
        <v>25500</v>
      </c>
      <c r="P133" s="79">
        <v>66000</v>
      </c>
      <c r="Q133" s="79"/>
      <c r="R133" s="79">
        <v>176</v>
      </c>
      <c r="S133" s="78" t="s">
        <v>43</v>
      </c>
      <c r="T133" s="78" t="s">
        <v>559</v>
      </c>
      <c r="U133" s="9" t="s">
        <v>567</v>
      </c>
      <c r="V133" s="85">
        <v>0.75</v>
      </c>
      <c r="W133" s="86">
        <v>3000</v>
      </c>
      <c r="X133" s="85">
        <v>2.4</v>
      </c>
      <c r="Y133" s="85">
        <v>5.8</v>
      </c>
      <c r="Z133" s="86">
        <v>6000</v>
      </c>
      <c r="AA133" s="85">
        <v>7.2</v>
      </c>
      <c r="AB133" s="38">
        <v>18.5</v>
      </c>
      <c r="AC133" s="85">
        <v>2.87</v>
      </c>
      <c r="AD133" s="87">
        <v>19</v>
      </c>
      <c r="AE133" s="88">
        <v>35.5</v>
      </c>
      <c r="AF133" s="78" t="s">
        <v>555</v>
      </c>
    </row>
    <row r="134" spans="1:32" ht="20.399999999999999" thickBot="1" x14ac:dyDescent="0.35">
      <c r="A134" s="4" t="s">
        <v>39</v>
      </c>
      <c r="B134" s="25">
        <f>+(B10/(F120*B138))^3*(1/(60*B116))*10^6</f>
        <v>5821.404077764013</v>
      </c>
      <c r="C134" s="9" t="s">
        <v>38</v>
      </c>
      <c r="D134" s="14">
        <f>+B69</f>
        <v>3500</v>
      </c>
      <c r="E134" s="11"/>
      <c r="K134" s="78" t="s">
        <v>418</v>
      </c>
      <c r="L134" s="79">
        <v>63</v>
      </c>
      <c r="M134" s="79">
        <v>40</v>
      </c>
      <c r="N134" s="80">
        <v>16</v>
      </c>
      <c r="O134" s="79">
        <v>35300</v>
      </c>
      <c r="P134" s="79">
        <v>96600</v>
      </c>
      <c r="Q134" s="79"/>
      <c r="R134" s="79">
        <v>169</v>
      </c>
      <c r="S134" s="78" t="s">
        <v>43</v>
      </c>
      <c r="T134" s="78" t="s">
        <v>560</v>
      </c>
      <c r="U134" s="9" t="s">
        <v>568</v>
      </c>
      <c r="V134" s="85">
        <v>1</v>
      </c>
      <c r="W134" s="86">
        <v>2000</v>
      </c>
      <c r="X134" s="85">
        <v>4.78</v>
      </c>
      <c r="Y134" s="85">
        <v>5.8</v>
      </c>
      <c r="Z134" s="86">
        <v>3500</v>
      </c>
      <c r="AA134" s="85">
        <v>14.4</v>
      </c>
      <c r="AB134" s="38">
        <v>17.399999999999999</v>
      </c>
      <c r="AC134" s="85">
        <v>7.4</v>
      </c>
      <c r="AD134" s="87">
        <v>24</v>
      </c>
      <c r="AE134" s="88">
        <v>50</v>
      </c>
      <c r="AF134" s="78" t="s">
        <v>555</v>
      </c>
    </row>
    <row r="135" spans="1:32" ht="16.2" x14ac:dyDescent="0.3">
      <c r="A135" s="10"/>
      <c r="F135" s="11"/>
      <c r="K135" s="78" t="s">
        <v>419</v>
      </c>
      <c r="L135" s="79">
        <v>80</v>
      </c>
      <c r="M135" s="79">
        <v>50</v>
      </c>
      <c r="N135" s="80">
        <v>19</v>
      </c>
      <c r="O135" s="79">
        <v>66600</v>
      </c>
      <c r="P135" s="79">
        <v>204000</v>
      </c>
      <c r="Q135" s="79"/>
      <c r="R135" s="79">
        <v>255</v>
      </c>
      <c r="S135" s="78" t="s">
        <v>43</v>
      </c>
      <c r="T135" s="78" t="s">
        <v>561</v>
      </c>
      <c r="U135" s="9" t="s">
        <v>569</v>
      </c>
      <c r="V135" s="85">
        <v>1.5</v>
      </c>
      <c r="W135" s="86">
        <v>2000</v>
      </c>
      <c r="X135" s="85">
        <v>7.16</v>
      </c>
      <c r="Y135" s="85">
        <v>8.5</v>
      </c>
      <c r="Z135" s="86">
        <v>3500</v>
      </c>
      <c r="AA135" s="85">
        <v>21.6</v>
      </c>
      <c r="AB135" s="38">
        <v>25.2</v>
      </c>
      <c r="AC135" s="85">
        <v>8.6999999999999993</v>
      </c>
      <c r="AD135" s="87">
        <v>24</v>
      </c>
      <c r="AE135" s="88">
        <v>50</v>
      </c>
      <c r="AF135" s="78" t="s">
        <v>555</v>
      </c>
    </row>
    <row r="136" spans="1:32" x14ac:dyDescent="0.3">
      <c r="K136" s="78" t="s">
        <v>420</v>
      </c>
      <c r="L136" s="79">
        <v>100</v>
      </c>
      <c r="M136" s="79">
        <v>60</v>
      </c>
      <c r="N136" s="80">
        <v>19</v>
      </c>
      <c r="O136" s="79">
        <v>73400</v>
      </c>
      <c r="P136" s="79">
        <v>251500</v>
      </c>
      <c r="Q136" s="79"/>
      <c r="R136" s="79">
        <v>295</v>
      </c>
      <c r="S136" s="78" t="s">
        <v>43</v>
      </c>
      <c r="T136" s="78" t="s">
        <v>562</v>
      </c>
      <c r="U136" s="9" t="s">
        <v>570</v>
      </c>
      <c r="V136" s="85">
        <v>2</v>
      </c>
      <c r="W136" s="86">
        <v>2000</v>
      </c>
      <c r="X136" s="85">
        <v>9.5500000000000007</v>
      </c>
      <c r="Y136" s="85">
        <v>11</v>
      </c>
      <c r="Z136" s="86">
        <v>3500</v>
      </c>
      <c r="AA136" s="85">
        <v>28.5</v>
      </c>
      <c r="AB136" s="38">
        <v>33</v>
      </c>
      <c r="AC136" s="85">
        <v>9.9</v>
      </c>
      <c r="AD136" s="87">
        <v>24</v>
      </c>
      <c r="AE136" s="88">
        <v>50</v>
      </c>
      <c r="AF136" s="78" t="s">
        <v>555</v>
      </c>
    </row>
    <row r="137" spans="1:32" x14ac:dyDescent="0.3">
      <c r="K137" s="78" t="s">
        <v>421</v>
      </c>
      <c r="L137" s="79">
        <v>40</v>
      </c>
      <c r="M137" s="79">
        <v>10</v>
      </c>
      <c r="N137" s="80">
        <v>7.9379999999999997</v>
      </c>
      <c r="O137" s="79">
        <v>15000</v>
      </c>
      <c r="P137" s="79">
        <v>41800</v>
      </c>
      <c r="Q137" s="79"/>
      <c r="R137" s="79">
        <v>124</v>
      </c>
      <c r="S137" s="78" t="s">
        <v>43</v>
      </c>
      <c r="T137" s="78" t="s">
        <v>563</v>
      </c>
      <c r="U137" s="9" t="s">
        <v>571</v>
      </c>
      <c r="V137" s="85">
        <v>3</v>
      </c>
      <c r="W137" s="86">
        <v>2000</v>
      </c>
      <c r="X137" s="85">
        <v>14.3</v>
      </c>
      <c r="Y137" s="85">
        <v>16</v>
      </c>
      <c r="Z137" s="86">
        <v>3500</v>
      </c>
      <c r="AA137" s="85">
        <v>43</v>
      </c>
      <c r="AB137" s="38">
        <v>48</v>
      </c>
      <c r="AC137" s="85">
        <v>12.4</v>
      </c>
      <c r="AD137" s="87">
        <v>24</v>
      </c>
      <c r="AE137" s="88">
        <v>50</v>
      </c>
      <c r="AF137" s="78" t="s">
        <v>555</v>
      </c>
    </row>
    <row r="138" spans="1:32" ht="19.8" x14ac:dyDescent="0.3">
      <c r="A138" s="4" t="s">
        <v>37</v>
      </c>
      <c r="B138" s="24">
        <v>1.1000000000000001</v>
      </c>
      <c r="D138" s="9">
        <v>1.1000000000000001</v>
      </c>
      <c r="K138" s="78" t="s">
        <v>422</v>
      </c>
      <c r="L138" s="79">
        <v>40</v>
      </c>
      <c r="M138" s="79">
        <v>12</v>
      </c>
      <c r="N138" s="80">
        <v>10</v>
      </c>
      <c r="O138" s="79">
        <v>18600</v>
      </c>
      <c r="P138" s="79">
        <v>48200</v>
      </c>
      <c r="Q138" s="79"/>
      <c r="R138" s="79">
        <v>156</v>
      </c>
      <c r="S138" s="78" t="s">
        <v>43</v>
      </c>
    </row>
    <row r="139" spans="1:32" ht="16.2" x14ac:dyDescent="0.3">
      <c r="A139" s="23" t="s">
        <v>36</v>
      </c>
      <c r="B139" s="92" t="s">
        <v>35</v>
      </c>
      <c r="C139" s="92"/>
      <c r="K139" s="78" t="s">
        <v>423</v>
      </c>
      <c r="L139" s="79">
        <v>50</v>
      </c>
      <c r="M139" s="79">
        <v>10</v>
      </c>
      <c r="N139" s="80">
        <v>7.9379999999999997</v>
      </c>
      <c r="O139" s="79">
        <v>16700</v>
      </c>
      <c r="P139" s="79">
        <v>63700</v>
      </c>
      <c r="Q139" s="79"/>
      <c r="R139" s="79">
        <v>133</v>
      </c>
      <c r="S139" s="78" t="s">
        <v>43</v>
      </c>
    </row>
    <row r="140" spans="1:32" ht="16.2" x14ac:dyDescent="0.3">
      <c r="A140" s="23" t="s">
        <v>34</v>
      </c>
      <c r="B140" s="22">
        <v>1</v>
      </c>
      <c r="C140" s="21">
        <v>1.2</v>
      </c>
      <c r="K140" s="78" t="s">
        <v>424</v>
      </c>
      <c r="L140" s="79">
        <v>50</v>
      </c>
      <c r="M140" s="79">
        <v>16</v>
      </c>
      <c r="N140" s="80">
        <v>12.7</v>
      </c>
      <c r="O140" s="79">
        <v>31200</v>
      </c>
      <c r="P140" s="79">
        <v>83500</v>
      </c>
      <c r="Q140" s="79"/>
      <c r="R140" s="79">
        <v>200</v>
      </c>
      <c r="S140" s="78" t="s">
        <v>43</v>
      </c>
    </row>
    <row r="141" spans="1:32" ht="16.2" x14ac:dyDescent="0.3">
      <c r="A141" s="23" t="s">
        <v>33</v>
      </c>
      <c r="B141" s="22">
        <v>1.2</v>
      </c>
      <c r="C141" s="21">
        <v>1.5</v>
      </c>
      <c r="K141" s="78" t="s">
        <v>425</v>
      </c>
      <c r="L141" s="79">
        <v>50</v>
      </c>
      <c r="M141" s="79">
        <v>16</v>
      </c>
      <c r="N141" s="80">
        <v>12.7</v>
      </c>
      <c r="O141" s="79">
        <v>24800</v>
      </c>
      <c r="P141" s="79">
        <v>63700</v>
      </c>
      <c r="Q141" s="79"/>
      <c r="R141" s="79">
        <v>168</v>
      </c>
      <c r="S141" s="78" t="s">
        <v>43</v>
      </c>
    </row>
    <row r="142" spans="1:32" ht="16.2" x14ac:dyDescent="0.3">
      <c r="A142" s="23" t="s">
        <v>32</v>
      </c>
      <c r="B142" s="22">
        <v>1.5</v>
      </c>
      <c r="C142" s="21">
        <v>3</v>
      </c>
      <c r="K142" s="78" t="s">
        <v>426</v>
      </c>
      <c r="L142" s="79">
        <v>50</v>
      </c>
      <c r="M142" s="79">
        <v>20</v>
      </c>
      <c r="N142" s="80">
        <v>13</v>
      </c>
      <c r="O142" s="79">
        <v>31200</v>
      </c>
      <c r="P142" s="79">
        <v>84800</v>
      </c>
      <c r="Q142" s="79"/>
      <c r="R142" s="79">
        <v>235</v>
      </c>
      <c r="S142" s="78" t="s">
        <v>43</v>
      </c>
    </row>
    <row r="143" spans="1:32" ht="16.2" x14ac:dyDescent="0.3">
      <c r="A143" s="20"/>
      <c r="B143" s="19"/>
      <c r="C143" s="18"/>
      <c r="K143" s="78" t="s">
        <v>427</v>
      </c>
      <c r="L143" s="79">
        <v>55</v>
      </c>
      <c r="M143" s="79">
        <v>10</v>
      </c>
      <c r="N143" s="80">
        <v>7.9379999999999997</v>
      </c>
      <c r="O143" s="79">
        <v>17500</v>
      </c>
      <c r="P143" s="79">
        <v>58500</v>
      </c>
      <c r="Q143" s="79"/>
      <c r="R143" s="79">
        <v>153</v>
      </c>
      <c r="S143" s="78" t="s">
        <v>43</v>
      </c>
    </row>
    <row r="144" spans="1:32" ht="16.2" x14ac:dyDescent="0.3">
      <c r="A144" s="13" t="s">
        <v>31</v>
      </c>
      <c r="K144" s="78" t="s">
        <v>428</v>
      </c>
      <c r="L144" s="79">
        <v>55</v>
      </c>
      <c r="M144" s="79">
        <v>16</v>
      </c>
      <c r="N144" s="80">
        <v>12.7</v>
      </c>
      <c r="O144" s="79">
        <v>32600</v>
      </c>
      <c r="P144" s="79">
        <v>94000</v>
      </c>
      <c r="Q144" s="79"/>
      <c r="R144" s="79">
        <v>200</v>
      </c>
      <c r="S144" s="78" t="s">
        <v>43</v>
      </c>
    </row>
    <row r="145" spans="1:19" ht="19.8" x14ac:dyDescent="0.3">
      <c r="A145" s="13" t="s">
        <v>30</v>
      </c>
      <c r="B145" s="11">
        <v>0.9</v>
      </c>
      <c r="C145" s="9" t="s">
        <v>29</v>
      </c>
      <c r="K145" s="78" t="s">
        <v>429</v>
      </c>
      <c r="L145" s="79">
        <v>55</v>
      </c>
      <c r="M145" s="79">
        <v>16</v>
      </c>
      <c r="N145" s="80">
        <v>12.7</v>
      </c>
      <c r="O145" s="79">
        <v>25800</v>
      </c>
      <c r="P145" s="79">
        <v>71800</v>
      </c>
      <c r="Q145" s="79"/>
      <c r="R145" s="79">
        <v>168</v>
      </c>
      <c r="S145" s="78" t="s">
        <v>43</v>
      </c>
    </row>
    <row r="146" spans="1:19" ht="19.8" x14ac:dyDescent="0.3">
      <c r="A146" s="13" t="s">
        <v>28</v>
      </c>
      <c r="B146" s="11">
        <f>+$F$120*B9/(2*PI()*B145)</f>
        <v>1255.3573719469464</v>
      </c>
      <c r="C146" s="9" t="s">
        <v>14</v>
      </c>
      <c r="K146" s="78" t="s">
        <v>430</v>
      </c>
      <c r="L146" s="79">
        <v>63</v>
      </c>
      <c r="M146" s="79">
        <v>20</v>
      </c>
      <c r="N146" s="80">
        <v>15.875</v>
      </c>
      <c r="O146" s="79">
        <v>35900</v>
      </c>
      <c r="P146" s="79">
        <v>99300</v>
      </c>
      <c r="Q146" s="79"/>
      <c r="R146" s="79">
        <v>210</v>
      </c>
      <c r="S146" s="78" t="s">
        <v>43</v>
      </c>
    </row>
    <row r="147" spans="1:19" ht="16.2" x14ac:dyDescent="0.3">
      <c r="A147" s="10"/>
      <c r="K147" s="78" t="s">
        <v>431</v>
      </c>
      <c r="L147" s="79">
        <v>63</v>
      </c>
      <c r="M147" s="79">
        <v>20</v>
      </c>
      <c r="N147" s="80">
        <v>15.875</v>
      </c>
      <c r="O147" s="79">
        <v>46600</v>
      </c>
      <c r="P147" s="79">
        <v>134700</v>
      </c>
      <c r="Q147" s="79"/>
      <c r="R147" s="79">
        <v>246</v>
      </c>
      <c r="S147" s="78" t="s">
        <v>43</v>
      </c>
    </row>
    <row r="148" spans="1:19" ht="16.2" x14ac:dyDescent="0.3">
      <c r="A148" s="13"/>
      <c r="K148" s="78" t="s">
        <v>432</v>
      </c>
      <c r="L148" s="79">
        <v>63</v>
      </c>
      <c r="M148" s="79">
        <v>25</v>
      </c>
      <c r="N148" s="80">
        <v>15.875</v>
      </c>
      <c r="O148" s="79">
        <v>35900</v>
      </c>
      <c r="P148" s="79">
        <v>99300</v>
      </c>
      <c r="Q148" s="79"/>
      <c r="R148" s="79">
        <v>235</v>
      </c>
      <c r="S148" s="78" t="s">
        <v>43</v>
      </c>
    </row>
    <row r="149" spans="1:19" ht="16.2" x14ac:dyDescent="0.3">
      <c r="A149" s="10"/>
      <c r="B149" s="10"/>
      <c r="K149" s="78" t="s">
        <v>433</v>
      </c>
      <c r="L149" s="81">
        <v>80</v>
      </c>
      <c r="M149" s="81">
        <v>16</v>
      </c>
      <c r="N149" s="82">
        <v>12.7</v>
      </c>
      <c r="O149" s="81">
        <v>39000</v>
      </c>
      <c r="P149" s="81">
        <v>136700</v>
      </c>
      <c r="Q149" s="81"/>
      <c r="R149" s="81">
        <v>205</v>
      </c>
      <c r="S149" s="78" t="s">
        <v>43</v>
      </c>
    </row>
    <row r="150" spans="1:19" ht="16.2" x14ac:dyDescent="0.3">
      <c r="A150" s="10"/>
      <c r="K150" s="78" t="s">
        <v>434</v>
      </c>
      <c r="L150" s="81">
        <v>80</v>
      </c>
      <c r="M150" s="81">
        <v>16</v>
      </c>
      <c r="N150" s="82">
        <v>12.7</v>
      </c>
      <c r="O150" s="81">
        <v>56000</v>
      </c>
      <c r="P150" s="81">
        <v>208700</v>
      </c>
      <c r="Q150" s="81"/>
      <c r="R150" s="81">
        <v>275</v>
      </c>
      <c r="S150" s="78" t="s">
        <v>43</v>
      </c>
    </row>
    <row r="151" spans="1:19" x14ac:dyDescent="0.3">
      <c r="K151" s="78" t="s">
        <v>435</v>
      </c>
      <c r="L151" s="79">
        <v>80</v>
      </c>
      <c r="M151" s="79">
        <v>20</v>
      </c>
      <c r="N151" s="80">
        <v>15.875</v>
      </c>
      <c r="O151" s="79">
        <v>52100</v>
      </c>
      <c r="P151" s="79">
        <v>172400</v>
      </c>
      <c r="Q151" s="79"/>
      <c r="R151" s="79">
        <v>250</v>
      </c>
      <c r="S151" s="78" t="s">
        <v>43</v>
      </c>
    </row>
    <row r="152" spans="1:19" x14ac:dyDescent="0.3">
      <c r="K152" s="78" t="s">
        <v>436</v>
      </c>
      <c r="L152" s="79">
        <v>80</v>
      </c>
      <c r="M152" s="79">
        <v>20</v>
      </c>
      <c r="N152" s="80">
        <v>15.875</v>
      </c>
      <c r="O152" s="79">
        <v>75000</v>
      </c>
      <c r="P152" s="79">
        <v>263200</v>
      </c>
      <c r="Q152" s="79"/>
      <c r="R152" s="79">
        <v>330</v>
      </c>
      <c r="S152" s="78" t="s">
        <v>43</v>
      </c>
    </row>
    <row r="153" spans="1:19" x14ac:dyDescent="0.3">
      <c r="K153" s="78" t="s">
        <v>437</v>
      </c>
      <c r="L153" s="79">
        <v>80</v>
      </c>
      <c r="M153" s="79">
        <v>25</v>
      </c>
      <c r="N153" s="80">
        <v>19.05</v>
      </c>
      <c r="O153" s="79">
        <v>67700</v>
      </c>
      <c r="P153" s="79">
        <v>206100</v>
      </c>
      <c r="Q153" s="79"/>
      <c r="R153" s="79">
        <v>305</v>
      </c>
      <c r="S153" s="78" t="s">
        <v>43</v>
      </c>
    </row>
    <row r="154" spans="1:19" x14ac:dyDescent="0.3">
      <c r="K154" s="78" t="s">
        <v>438</v>
      </c>
      <c r="L154" s="79">
        <v>80</v>
      </c>
      <c r="M154" s="79">
        <v>25</v>
      </c>
      <c r="N154" s="80">
        <v>19.05</v>
      </c>
      <c r="O154" s="79">
        <v>97200</v>
      </c>
      <c r="P154" s="79">
        <v>314600</v>
      </c>
      <c r="Q154" s="79"/>
      <c r="R154" s="79">
        <v>402</v>
      </c>
      <c r="S154" s="78" t="s">
        <v>43</v>
      </c>
    </row>
    <row r="155" spans="1:19" x14ac:dyDescent="0.3">
      <c r="K155" s="78" t="s">
        <v>439</v>
      </c>
      <c r="L155" s="79">
        <v>45</v>
      </c>
      <c r="M155" s="79">
        <v>10</v>
      </c>
      <c r="N155" s="80">
        <v>6</v>
      </c>
      <c r="O155" s="79">
        <v>7760</v>
      </c>
      <c r="P155" s="79">
        <v>23550</v>
      </c>
      <c r="Q155" s="79">
        <v>119</v>
      </c>
      <c r="R155" s="79">
        <v>131</v>
      </c>
      <c r="S155" s="78" t="s">
        <v>43</v>
      </c>
    </row>
    <row r="156" spans="1:19" x14ac:dyDescent="0.3">
      <c r="K156" s="78" t="s">
        <v>440</v>
      </c>
      <c r="L156" s="79">
        <v>45</v>
      </c>
      <c r="M156" s="79">
        <v>12</v>
      </c>
      <c r="N156" s="80">
        <v>7</v>
      </c>
      <c r="O156" s="79">
        <v>9120</v>
      </c>
      <c r="P156" s="79">
        <v>26850</v>
      </c>
      <c r="Q156" s="79">
        <v>121</v>
      </c>
      <c r="R156" s="79">
        <v>148</v>
      </c>
      <c r="S156" s="78" t="s">
        <v>43</v>
      </c>
    </row>
    <row r="157" spans="1:19" ht="16.2" x14ac:dyDescent="0.3">
      <c r="A157" s="10"/>
      <c r="K157" s="78" t="s">
        <v>441</v>
      </c>
      <c r="L157" s="79">
        <v>50</v>
      </c>
      <c r="M157" s="79">
        <v>10</v>
      </c>
      <c r="N157" s="80">
        <v>6</v>
      </c>
      <c r="O157" s="79">
        <v>8200</v>
      </c>
      <c r="P157" s="79">
        <v>26130</v>
      </c>
      <c r="Q157" s="79">
        <v>130</v>
      </c>
      <c r="R157" s="79">
        <v>131</v>
      </c>
      <c r="S157" s="78" t="s">
        <v>43</v>
      </c>
    </row>
    <row r="158" spans="1:19" x14ac:dyDescent="0.3">
      <c r="K158" s="78" t="s">
        <v>442</v>
      </c>
      <c r="L158" s="79">
        <v>20</v>
      </c>
      <c r="M158" s="79">
        <v>10</v>
      </c>
      <c r="N158" s="80">
        <v>4.7619999999999996</v>
      </c>
      <c r="O158" s="79">
        <v>1100</v>
      </c>
      <c r="P158" s="79">
        <v>2200</v>
      </c>
      <c r="Q158" s="79">
        <v>16</v>
      </c>
      <c r="R158" s="79">
        <v>61</v>
      </c>
      <c r="S158" s="78" t="s">
        <v>43</v>
      </c>
    </row>
    <row r="159" spans="1:19" x14ac:dyDescent="0.3">
      <c r="K159" s="78" t="s">
        <v>443</v>
      </c>
      <c r="L159" s="79">
        <v>25</v>
      </c>
      <c r="M159" s="79">
        <v>10</v>
      </c>
      <c r="N159" s="80">
        <v>4.7619999999999996</v>
      </c>
      <c r="O159" s="79">
        <v>1270</v>
      </c>
      <c r="P159" s="79">
        <v>2780</v>
      </c>
      <c r="Q159" s="79">
        <v>20</v>
      </c>
      <c r="R159" s="79">
        <v>65</v>
      </c>
      <c r="S159" s="78" t="s">
        <v>43</v>
      </c>
    </row>
    <row r="160" spans="1:19" x14ac:dyDescent="0.3">
      <c r="K160" s="78" t="s">
        <v>444</v>
      </c>
      <c r="L160" s="79">
        <v>25</v>
      </c>
      <c r="M160" s="79">
        <v>10</v>
      </c>
      <c r="N160" s="80">
        <v>6.35</v>
      </c>
      <c r="O160" s="79">
        <v>3200</v>
      </c>
      <c r="P160" s="79">
        <v>7170</v>
      </c>
      <c r="Q160" s="79">
        <v>40</v>
      </c>
      <c r="R160" s="79">
        <v>97</v>
      </c>
      <c r="S160" s="78" t="s">
        <v>43</v>
      </c>
    </row>
    <row r="161" spans="11:19" x14ac:dyDescent="0.3">
      <c r="K161" s="78" t="s">
        <v>445</v>
      </c>
      <c r="L161" s="79">
        <v>40</v>
      </c>
      <c r="M161" s="79">
        <v>10</v>
      </c>
      <c r="N161" s="80">
        <v>6.35</v>
      </c>
      <c r="O161" s="79">
        <v>3520</v>
      </c>
      <c r="P161" s="79">
        <v>12000</v>
      </c>
      <c r="Q161" s="79">
        <v>59</v>
      </c>
      <c r="R161" s="79">
        <v>100</v>
      </c>
      <c r="S161" s="78" t="s">
        <v>43</v>
      </c>
    </row>
    <row r="162" spans="11:19" x14ac:dyDescent="0.3">
      <c r="K162" s="78" t="s">
        <v>446</v>
      </c>
      <c r="L162" s="79">
        <v>40</v>
      </c>
      <c r="M162" s="79">
        <v>10</v>
      </c>
      <c r="N162" s="80"/>
      <c r="O162" s="79">
        <v>16260</v>
      </c>
      <c r="P162" s="79">
        <v>33600</v>
      </c>
      <c r="Q162" s="79">
        <v>191</v>
      </c>
      <c r="R162" s="79">
        <v>135</v>
      </c>
      <c r="S162" s="78" t="s">
        <v>318</v>
      </c>
    </row>
    <row r="163" spans="11:19" x14ac:dyDescent="0.3">
      <c r="K163" s="78" t="s">
        <v>447</v>
      </c>
      <c r="L163" s="79">
        <v>40</v>
      </c>
      <c r="M163" s="79">
        <v>12</v>
      </c>
      <c r="N163" s="80"/>
      <c r="O163" s="79">
        <v>21240</v>
      </c>
      <c r="P163" s="79">
        <v>44160</v>
      </c>
      <c r="Q163" s="79">
        <v>192</v>
      </c>
      <c r="R163" s="79">
        <v>152</v>
      </c>
      <c r="S163" s="78" t="s">
        <v>318</v>
      </c>
    </row>
    <row r="164" spans="11:19" x14ac:dyDescent="0.3">
      <c r="K164" s="78" t="s">
        <v>448</v>
      </c>
      <c r="L164" s="79">
        <v>50</v>
      </c>
      <c r="M164" s="79">
        <v>16</v>
      </c>
      <c r="N164" s="80"/>
      <c r="O164" s="79">
        <v>37960</v>
      </c>
      <c r="P164" s="79">
        <v>82090</v>
      </c>
      <c r="Q164" s="79">
        <v>239</v>
      </c>
      <c r="R164" s="79">
        <v>211</v>
      </c>
      <c r="S164" s="78" t="s">
        <v>318</v>
      </c>
    </row>
    <row r="165" spans="11:19" x14ac:dyDescent="0.3">
      <c r="K165" s="78" t="s">
        <v>449</v>
      </c>
      <c r="L165" s="79">
        <v>150</v>
      </c>
      <c r="M165" s="79">
        <v>20</v>
      </c>
      <c r="N165" s="80"/>
      <c r="O165" s="79">
        <v>228571</v>
      </c>
      <c r="P165" s="79">
        <v>1067245</v>
      </c>
      <c r="Q165" s="79"/>
      <c r="R165" s="79">
        <v>400</v>
      </c>
      <c r="S165" s="78" t="s">
        <v>286</v>
      </c>
    </row>
    <row r="166" spans="11:19" x14ac:dyDescent="0.3">
      <c r="K166" s="78" t="s">
        <v>450</v>
      </c>
      <c r="L166" s="79">
        <v>180</v>
      </c>
      <c r="M166" s="79">
        <v>20</v>
      </c>
      <c r="N166" s="80"/>
      <c r="O166" s="79">
        <v>318673</v>
      </c>
      <c r="P166" s="79">
        <v>1767245</v>
      </c>
      <c r="Q166" s="79"/>
      <c r="R166" s="79">
        <v>400</v>
      </c>
      <c r="S166" s="78" t="s">
        <v>286</v>
      </c>
    </row>
    <row r="167" spans="11:19" x14ac:dyDescent="0.3">
      <c r="K167" s="78" t="s">
        <v>451</v>
      </c>
      <c r="L167" s="79">
        <v>180</v>
      </c>
      <c r="M167" s="79">
        <v>30</v>
      </c>
      <c r="N167" s="80"/>
      <c r="O167" s="79">
        <v>307041</v>
      </c>
      <c r="P167" s="79">
        <v>1611224</v>
      </c>
      <c r="Q167" s="79"/>
      <c r="R167" s="79">
        <v>400</v>
      </c>
      <c r="S167" s="78" t="s">
        <v>286</v>
      </c>
    </row>
    <row r="168" spans="11:19" x14ac:dyDescent="0.3">
      <c r="K168" s="78" t="s">
        <v>452</v>
      </c>
      <c r="L168" s="79">
        <v>210</v>
      </c>
      <c r="M168" s="79">
        <v>20</v>
      </c>
      <c r="N168" s="80"/>
      <c r="O168" s="79">
        <v>343980</v>
      </c>
      <c r="P168" s="79">
        <v>1955510</v>
      </c>
      <c r="Q168" s="79"/>
      <c r="R168" s="79">
        <v>400</v>
      </c>
      <c r="S168" s="78" t="s">
        <v>286</v>
      </c>
    </row>
    <row r="169" spans="11:19" x14ac:dyDescent="0.3">
      <c r="K169" s="78" t="s">
        <v>453</v>
      </c>
      <c r="L169" s="79">
        <v>240</v>
      </c>
      <c r="M169" s="79">
        <v>25</v>
      </c>
      <c r="N169" s="80"/>
      <c r="O169" s="79">
        <v>399898</v>
      </c>
      <c r="P169" s="79">
        <v>2386429</v>
      </c>
      <c r="Q169" s="79"/>
      <c r="R169" s="79">
        <v>400</v>
      </c>
      <c r="S169" s="78" t="s">
        <v>286</v>
      </c>
    </row>
    <row r="170" spans="11:19" x14ac:dyDescent="0.3">
      <c r="K170" s="78" t="s">
        <v>454</v>
      </c>
      <c r="L170" s="79">
        <v>50</v>
      </c>
      <c r="M170" s="79">
        <v>14</v>
      </c>
      <c r="N170" s="80"/>
      <c r="O170" s="79">
        <v>21100</v>
      </c>
      <c r="P170" s="79">
        <v>62300</v>
      </c>
      <c r="Q170" s="79"/>
      <c r="R170" s="79">
        <v>202</v>
      </c>
      <c r="S170" s="78" t="s">
        <v>318</v>
      </c>
    </row>
    <row r="171" spans="11:19" x14ac:dyDescent="0.3">
      <c r="K171" s="78" t="s">
        <v>455</v>
      </c>
      <c r="L171" s="79">
        <v>50</v>
      </c>
      <c r="M171" s="79">
        <v>16</v>
      </c>
      <c r="N171" s="80"/>
      <c r="O171" s="79">
        <v>30600</v>
      </c>
      <c r="P171" s="79">
        <v>81800</v>
      </c>
      <c r="Q171" s="79"/>
      <c r="R171" s="79">
        <v>228</v>
      </c>
      <c r="S171" s="78" t="s">
        <v>318</v>
      </c>
    </row>
    <row r="172" spans="11:19" x14ac:dyDescent="0.3">
      <c r="K172" s="78" t="s">
        <v>456</v>
      </c>
      <c r="L172" s="79">
        <v>50</v>
      </c>
      <c r="M172" s="79">
        <v>40</v>
      </c>
      <c r="N172" s="80"/>
      <c r="O172" s="79">
        <v>19500</v>
      </c>
      <c r="P172" s="79">
        <v>49100</v>
      </c>
      <c r="Q172" s="79"/>
      <c r="R172" s="79">
        <v>159</v>
      </c>
      <c r="S172" s="78" t="s">
        <v>318</v>
      </c>
    </row>
    <row r="173" spans="11:19" x14ac:dyDescent="0.3">
      <c r="K173" s="78" t="s">
        <v>457</v>
      </c>
      <c r="L173" s="79">
        <v>63</v>
      </c>
      <c r="M173" s="79">
        <v>32</v>
      </c>
      <c r="N173" s="80"/>
      <c r="O173" s="79">
        <v>23300</v>
      </c>
      <c r="P173" s="79">
        <v>59000</v>
      </c>
      <c r="Q173" s="79"/>
      <c r="R173" s="79">
        <v>176</v>
      </c>
      <c r="S173" s="78" t="s">
        <v>318</v>
      </c>
    </row>
    <row r="174" spans="11:19" x14ac:dyDescent="0.3">
      <c r="K174" s="78" t="s">
        <v>458</v>
      </c>
      <c r="L174" s="79">
        <v>30</v>
      </c>
      <c r="M174" s="79">
        <v>10</v>
      </c>
      <c r="N174" s="80"/>
      <c r="O174" s="79">
        <v>10306</v>
      </c>
      <c r="P174" s="79">
        <v>17755</v>
      </c>
      <c r="Q174" s="79"/>
      <c r="R174" s="79">
        <v>127</v>
      </c>
      <c r="S174" s="78" t="s">
        <v>318</v>
      </c>
    </row>
    <row r="175" spans="11:19" x14ac:dyDescent="0.3">
      <c r="K175" s="78" t="s">
        <v>459</v>
      </c>
      <c r="L175" s="79">
        <v>39</v>
      </c>
      <c r="M175" s="79">
        <v>10</v>
      </c>
      <c r="N175" s="80"/>
      <c r="O175" s="79">
        <v>9134</v>
      </c>
      <c r="P175" s="79">
        <v>17071</v>
      </c>
      <c r="Q175" s="79"/>
      <c r="R175" s="79">
        <v>152</v>
      </c>
      <c r="S175" s="78" t="s">
        <v>318</v>
      </c>
    </row>
    <row r="176" spans="11:19" x14ac:dyDescent="0.3">
      <c r="K176" s="78" t="s">
        <v>460</v>
      </c>
      <c r="L176" s="79">
        <v>48</v>
      </c>
      <c r="M176" s="79">
        <v>10</v>
      </c>
      <c r="N176" s="80"/>
      <c r="O176" s="79">
        <v>22449</v>
      </c>
      <c r="P176" s="79">
        <v>48469</v>
      </c>
      <c r="Q176" s="79"/>
      <c r="R176" s="79">
        <v>127</v>
      </c>
      <c r="S176" s="78" t="s">
        <v>318</v>
      </c>
    </row>
    <row r="177" spans="11:19" x14ac:dyDescent="0.3">
      <c r="K177" s="78" t="s">
        <v>460</v>
      </c>
      <c r="L177" s="79">
        <v>48</v>
      </c>
      <c r="M177" s="79">
        <v>10</v>
      </c>
      <c r="N177" s="80"/>
      <c r="O177" s="79">
        <v>13858</v>
      </c>
      <c r="P177" s="79">
        <v>29921</v>
      </c>
      <c r="Q177" s="79"/>
      <c r="R177" s="79">
        <v>127</v>
      </c>
      <c r="S177" s="78" t="s">
        <v>318</v>
      </c>
    </row>
    <row r="178" spans="11:19" x14ac:dyDescent="0.3">
      <c r="K178" s="78" t="s">
        <v>461</v>
      </c>
      <c r="L178" s="79">
        <v>60</v>
      </c>
      <c r="M178" s="79">
        <v>10</v>
      </c>
      <c r="N178" s="80"/>
      <c r="O178" s="79">
        <v>32857</v>
      </c>
      <c r="P178" s="79">
        <v>79592</v>
      </c>
      <c r="Q178" s="79"/>
      <c r="R178" s="79">
        <v>152</v>
      </c>
      <c r="S178" s="78" t="s">
        <v>318</v>
      </c>
    </row>
    <row r="179" spans="11:19" x14ac:dyDescent="0.3">
      <c r="K179" s="78" t="s">
        <v>462</v>
      </c>
      <c r="L179" s="79">
        <v>60</v>
      </c>
      <c r="M179" s="79">
        <v>20</v>
      </c>
      <c r="N179" s="80"/>
      <c r="O179" s="79">
        <v>38265</v>
      </c>
      <c r="P179" s="79">
        <v>80204</v>
      </c>
      <c r="Q179" s="79"/>
      <c r="R179" s="79">
        <v>152</v>
      </c>
      <c r="S179" s="78" t="s">
        <v>318</v>
      </c>
    </row>
    <row r="180" spans="11:19" x14ac:dyDescent="0.3">
      <c r="K180" s="78" t="s">
        <v>463</v>
      </c>
      <c r="L180" s="79">
        <v>75</v>
      </c>
      <c r="M180" s="79">
        <v>10</v>
      </c>
      <c r="N180" s="80"/>
      <c r="O180" s="79">
        <v>30236</v>
      </c>
      <c r="P180" s="79">
        <v>93669</v>
      </c>
      <c r="Q180" s="79"/>
      <c r="R180" s="79">
        <v>191</v>
      </c>
      <c r="S180" s="78" t="s">
        <v>318</v>
      </c>
    </row>
    <row r="181" spans="11:19" x14ac:dyDescent="0.3">
      <c r="K181" s="78" t="s">
        <v>464</v>
      </c>
      <c r="L181" s="79">
        <v>75</v>
      </c>
      <c r="M181" s="79">
        <v>20</v>
      </c>
      <c r="N181" s="80"/>
      <c r="O181" s="79">
        <v>55510</v>
      </c>
      <c r="P181" s="79">
        <v>152653</v>
      </c>
      <c r="Q181" s="79"/>
      <c r="R181" s="79">
        <v>191</v>
      </c>
      <c r="S181" s="78" t="s">
        <v>318</v>
      </c>
    </row>
    <row r="182" spans="11:19" x14ac:dyDescent="0.3">
      <c r="K182" s="78" t="s">
        <v>464</v>
      </c>
      <c r="L182" s="79">
        <v>75</v>
      </c>
      <c r="M182" s="79">
        <v>20</v>
      </c>
      <c r="N182" s="80"/>
      <c r="O182" s="79">
        <v>34268</v>
      </c>
      <c r="P182" s="79">
        <v>94236</v>
      </c>
      <c r="Q182" s="79"/>
      <c r="R182" s="79">
        <v>191</v>
      </c>
      <c r="S182" s="78" t="s">
        <v>318</v>
      </c>
    </row>
    <row r="183" spans="11:19" x14ac:dyDescent="0.3">
      <c r="K183" s="9" t="s">
        <v>574</v>
      </c>
      <c r="L183" s="79">
        <v>16</v>
      </c>
      <c r="M183" s="79">
        <v>5</v>
      </c>
      <c r="N183" s="80">
        <v>3.1749999999999998</v>
      </c>
      <c r="O183" s="79">
        <v>1380</v>
      </c>
      <c r="P183" s="79">
        <v>3052</v>
      </c>
      <c r="Q183" s="79">
        <v>32</v>
      </c>
      <c r="R183" s="79">
        <v>45</v>
      </c>
      <c r="S183" s="78" t="s">
        <v>575</v>
      </c>
    </row>
    <row r="184" spans="11:19" x14ac:dyDescent="0.3">
      <c r="K184" s="9" t="s">
        <v>576</v>
      </c>
      <c r="L184" s="79">
        <v>25</v>
      </c>
      <c r="M184" s="79">
        <v>10</v>
      </c>
      <c r="N184" s="80">
        <v>4.7619999999999996</v>
      </c>
      <c r="O184" s="79">
        <v>2954</v>
      </c>
      <c r="P184" s="79">
        <v>7295</v>
      </c>
      <c r="Q184" s="79">
        <v>50</v>
      </c>
      <c r="R184" s="79">
        <v>80</v>
      </c>
      <c r="S184" s="78" t="s">
        <v>575</v>
      </c>
    </row>
    <row r="185" spans="11:19" x14ac:dyDescent="0.3">
      <c r="K185" s="9" t="s">
        <v>578</v>
      </c>
      <c r="L185" s="79">
        <v>32</v>
      </c>
      <c r="M185" s="79">
        <v>10</v>
      </c>
      <c r="N185" s="80">
        <v>6.35</v>
      </c>
      <c r="O185" s="79">
        <v>4805</v>
      </c>
      <c r="P185" s="79">
        <v>12208</v>
      </c>
      <c r="Q185" s="79">
        <v>61</v>
      </c>
      <c r="R185" s="79">
        <v>85</v>
      </c>
      <c r="S185" s="78" t="s">
        <v>575</v>
      </c>
    </row>
    <row r="186" spans="11:19" x14ac:dyDescent="0.3">
      <c r="K186" s="9" t="s">
        <v>579</v>
      </c>
      <c r="L186" s="79">
        <v>40</v>
      </c>
      <c r="M186" s="79">
        <v>10</v>
      </c>
      <c r="N186" s="80">
        <v>6.35</v>
      </c>
      <c r="O186" s="79">
        <v>5399</v>
      </c>
      <c r="P186" s="79">
        <v>15500</v>
      </c>
      <c r="Q186" s="79">
        <v>73</v>
      </c>
      <c r="R186" s="79">
        <v>85</v>
      </c>
      <c r="S186" s="78" t="s">
        <v>575</v>
      </c>
    </row>
    <row r="187" spans="11:19" x14ac:dyDescent="0.3">
      <c r="K187" s="78" t="s">
        <v>465</v>
      </c>
      <c r="L187" s="79">
        <v>32</v>
      </c>
      <c r="M187" s="79">
        <v>10</v>
      </c>
      <c r="N187" s="80">
        <v>6</v>
      </c>
      <c r="O187" s="79">
        <v>3963</v>
      </c>
      <c r="P187" s="79">
        <v>9011</v>
      </c>
      <c r="Q187" s="79">
        <v>53</v>
      </c>
      <c r="R187" s="79">
        <v>96</v>
      </c>
      <c r="S187" s="78" t="s">
        <v>320</v>
      </c>
    </row>
    <row r="188" spans="11:19" x14ac:dyDescent="0.3">
      <c r="K188" s="78" t="s">
        <v>466</v>
      </c>
      <c r="L188" s="79">
        <v>32</v>
      </c>
      <c r="M188" s="79">
        <v>20</v>
      </c>
      <c r="N188" s="80">
        <v>6</v>
      </c>
      <c r="O188" s="79">
        <v>2481</v>
      </c>
      <c r="P188" s="79">
        <v>5385</v>
      </c>
      <c r="Q188" s="79">
        <v>29</v>
      </c>
      <c r="R188" s="79">
        <v>100</v>
      </c>
      <c r="S188" s="78" t="s">
        <v>320</v>
      </c>
    </row>
    <row r="189" spans="11:19" x14ac:dyDescent="0.3">
      <c r="K189" s="78" t="s">
        <v>467</v>
      </c>
      <c r="L189" s="79">
        <v>40</v>
      </c>
      <c r="M189" s="79">
        <v>10</v>
      </c>
      <c r="N189" s="80">
        <v>6</v>
      </c>
      <c r="O189" s="79">
        <v>4372</v>
      </c>
      <c r="P189" s="79">
        <v>11264</v>
      </c>
      <c r="Q189" s="79">
        <v>65</v>
      </c>
      <c r="R189" s="79">
        <v>100</v>
      </c>
      <c r="S189" s="78" t="s">
        <v>320</v>
      </c>
    </row>
    <row r="190" spans="11:19" x14ac:dyDescent="0.3">
      <c r="K190" s="78" t="s">
        <v>468</v>
      </c>
      <c r="L190" s="79">
        <v>40</v>
      </c>
      <c r="M190" s="79">
        <v>20</v>
      </c>
      <c r="N190" s="80">
        <v>6</v>
      </c>
      <c r="O190" s="79">
        <v>2723</v>
      </c>
      <c r="P190" s="79">
        <v>6653</v>
      </c>
      <c r="Q190" s="79">
        <v>36</v>
      </c>
      <c r="R190" s="79">
        <v>100</v>
      </c>
      <c r="S190" s="78" t="s">
        <v>320</v>
      </c>
    </row>
    <row r="191" spans="11:19" x14ac:dyDescent="0.3">
      <c r="K191" s="78" t="s">
        <v>469</v>
      </c>
      <c r="L191" s="79">
        <v>50</v>
      </c>
      <c r="M191" s="79">
        <v>10</v>
      </c>
      <c r="N191" s="80">
        <v>5</v>
      </c>
      <c r="O191" s="79">
        <v>7023</v>
      </c>
      <c r="P191" s="79">
        <v>23537</v>
      </c>
      <c r="Q191" s="79">
        <v>106</v>
      </c>
      <c r="R191" s="79">
        <v>93</v>
      </c>
      <c r="S191" s="78" t="s">
        <v>320</v>
      </c>
    </row>
    <row r="192" spans="11:19" x14ac:dyDescent="0.3">
      <c r="K192" s="78" t="s">
        <v>470</v>
      </c>
      <c r="L192" s="79">
        <v>50</v>
      </c>
      <c r="M192" s="79">
        <v>20</v>
      </c>
      <c r="N192" s="80">
        <v>10</v>
      </c>
      <c r="O192" s="79">
        <v>5149</v>
      </c>
      <c r="P192" s="79">
        <v>12118</v>
      </c>
      <c r="Q192" s="79">
        <v>46</v>
      </c>
      <c r="R192" s="79">
        <v>121</v>
      </c>
      <c r="S192" s="78" t="s">
        <v>320</v>
      </c>
    </row>
    <row r="193" spans="11:19" x14ac:dyDescent="0.3">
      <c r="K193" s="78" t="s">
        <v>471</v>
      </c>
      <c r="L193" s="79">
        <v>63</v>
      </c>
      <c r="M193" s="79">
        <v>10</v>
      </c>
      <c r="N193" s="80">
        <v>10</v>
      </c>
      <c r="O193" s="79">
        <v>786</v>
      </c>
      <c r="P193" s="79">
        <v>30430</v>
      </c>
      <c r="Q193" s="79">
        <v>80</v>
      </c>
      <c r="R193" s="79">
        <v>120</v>
      </c>
      <c r="S193" s="78" t="s">
        <v>320</v>
      </c>
    </row>
    <row r="194" spans="11:19" x14ac:dyDescent="0.3">
      <c r="K194" s="78" t="s">
        <v>472</v>
      </c>
      <c r="L194" s="79">
        <v>16</v>
      </c>
      <c r="M194" s="79">
        <v>5</v>
      </c>
      <c r="N194" s="80">
        <v>3</v>
      </c>
      <c r="O194" s="79">
        <v>1510</v>
      </c>
      <c r="P194" s="79">
        <v>1643</v>
      </c>
      <c r="Q194" s="79"/>
      <c r="R194" s="79">
        <v>35</v>
      </c>
      <c r="S194" s="78" t="s">
        <v>318</v>
      </c>
    </row>
    <row r="195" spans="11:19" x14ac:dyDescent="0.3">
      <c r="K195" s="78" t="s">
        <v>473</v>
      </c>
      <c r="L195" s="79">
        <v>20</v>
      </c>
      <c r="M195" s="79">
        <v>10</v>
      </c>
      <c r="N195" s="80">
        <v>3</v>
      </c>
      <c r="O195" s="79">
        <v>1316</v>
      </c>
      <c r="P195" s="79">
        <v>2173</v>
      </c>
      <c r="Q195" s="79"/>
      <c r="R195" s="79">
        <v>60</v>
      </c>
      <c r="S195" s="78" t="s">
        <v>318</v>
      </c>
    </row>
  </sheetData>
  <sortState xmlns:xlrd2="http://schemas.microsoft.com/office/spreadsheetml/2017/richdata2" ref="K2:S195">
    <sortCondition ref="K2:K195"/>
  </sortState>
  <dataConsolidate/>
  <mergeCells count="1">
    <mergeCell ref="B139:C139"/>
  </mergeCells>
  <phoneticPr fontId="6" type="noConversion"/>
  <conditionalFormatting sqref="B130">
    <cfRule type="cellIs" dxfId="27" priority="3" stopIfTrue="1" operator="greaterThanOrEqual">
      <formula>$B$10</formula>
    </cfRule>
    <cfRule type="cellIs" dxfId="26" priority="4" stopIfTrue="1" operator="lessThan">
      <formula>$B$10</formula>
    </cfRule>
  </conditionalFormatting>
  <conditionalFormatting sqref="B134">
    <cfRule type="cellIs" dxfId="25" priority="5" stopIfTrue="1" operator="lessThan">
      <formula>$B$69</formula>
    </cfRule>
    <cfRule type="cellIs" dxfId="24" priority="6" stopIfTrue="1" operator="greaterThanOrEqual">
      <formula>$B$69</formula>
    </cfRule>
  </conditionalFormatting>
  <conditionalFormatting sqref="D63">
    <cfRule type="cellIs" dxfId="23" priority="7" stopIfTrue="1" operator="lessThanOrEqual">
      <formula>$B$31</formula>
    </cfRule>
    <cfRule type="cellIs" dxfId="22" priority="8" stopIfTrue="1" operator="greaterThan">
      <formula>$B$31</formula>
    </cfRule>
  </conditionalFormatting>
  <conditionalFormatting sqref="B55">
    <cfRule type="cellIs" dxfId="21" priority="9" stopIfTrue="1" operator="greaterThanOrEqual">
      <formula>$H$24</formula>
    </cfRule>
    <cfRule type="cellIs" dxfId="20" priority="10" stopIfTrue="1" operator="lessThan">
      <formula>$F$24+$H$24</formula>
    </cfRule>
  </conditionalFormatting>
  <conditionalFormatting sqref="B56">
    <cfRule type="cellIs" dxfId="19" priority="11" stopIfTrue="1" operator="greaterThanOrEqual">
      <formula>$H$7</formula>
    </cfRule>
    <cfRule type="cellIs" dxfId="18" priority="12" stopIfTrue="1" operator="lessThan">
      <formula>$H$7</formula>
    </cfRule>
  </conditionalFormatting>
  <conditionalFormatting sqref="D62">
    <cfRule type="cellIs" dxfId="17" priority="13" stopIfTrue="1" operator="lessThanOrEqual">
      <formula>2000</formula>
    </cfRule>
    <cfRule type="cellIs" dxfId="16" priority="14" stopIfTrue="1" operator="greaterThan">
      <formula>2000</formula>
    </cfRule>
  </conditionalFormatting>
  <conditionalFormatting sqref="B58">
    <cfRule type="cellIs" dxfId="15" priority="1" stopIfTrue="1" operator="lessThanOrEqual">
      <formula>$B$9</formula>
    </cfRule>
    <cfRule type="cellIs" dxfId="14" priority="2" stopIfTrue="1" operator="greaterThan">
      <formula>$B$9</formula>
    </cfRule>
  </conditionalFormatting>
  <dataValidations count="7">
    <dataValidation type="list" allowBlank="1" showInputMessage="1" showErrorMessage="1" sqref="WVJ983047 IX7 ST7 ACP7 AML7 AWH7 BGD7 BPZ7 BZV7 CJR7 CTN7 DDJ7 DNF7 DXB7 EGX7 EQT7 FAP7 FKL7 FUH7 GED7 GNZ7 GXV7 HHR7 HRN7 IBJ7 ILF7 IVB7 JEX7 JOT7 JYP7 KIL7 KSH7 LCD7 LLZ7 LVV7 MFR7 MPN7 MZJ7 NJF7 NTB7 OCX7 OMT7 OWP7 PGL7 PQH7 QAD7 QJZ7 QTV7 RDR7 RNN7 RXJ7 SHF7 SRB7 TAX7 TKT7 TUP7 UEL7 UOH7 UYD7 VHZ7 VRV7 WBR7 WLN7 WVJ7 B65478 IX65543 ST65543 ACP65543 AML65543 AWH65543 BGD65543 BPZ65543 BZV65543 CJR65543 CTN65543 DDJ65543 DNF65543 DXB65543 EGX65543 EQT65543 FAP65543 FKL65543 FUH65543 GED65543 GNZ65543 GXV65543 HHR65543 HRN65543 IBJ65543 ILF65543 IVB65543 JEX65543 JOT65543 JYP65543 KIL65543 KSH65543 LCD65543 LLZ65543 LVV65543 MFR65543 MPN65543 MZJ65543 NJF65543 NTB65543 OCX65543 OMT65543 OWP65543 PGL65543 PQH65543 QAD65543 QJZ65543 QTV65543 RDR65543 RNN65543 RXJ65543 SHF65543 SRB65543 TAX65543 TKT65543 TUP65543 UEL65543 UOH65543 UYD65543 VHZ65543 VRV65543 WBR65543 WLN65543 WVJ65543 B131014 IX131079 ST131079 ACP131079 AML131079 AWH131079 BGD131079 BPZ131079 BZV131079 CJR131079 CTN131079 DDJ131079 DNF131079 DXB131079 EGX131079 EQT131079 FAP131079 FKL131079 FUH131079 GED131079 GNZ131079 GXV131079 HHR131079 HRN131079 IBJ131079 ILF131079 IVB131079 JEX131079 JOT131079 JYP131079 KIL131079 KSH131079 LCD131079 LLZ131079 LVV131079 MFR131079 MPN131079 MZJ131079 NJF131079 NTB131079 OCX131079 OMT131079 OWP131079 PGL131079 PQH131079 QAD131079 QJZ131079 QTV131079 RDR131079 RNN131079 RXJ131079 SHF131079 SRB131079 TAX131079 TKT131079 TUP131079 UEL131079 UOH131079 UYD131079 VHZ131079 VRV131079 WBR131079 WLN131079 WVJ131079 B196550 IX196615 ST196615 ACP196615 AML196615 AWH196615 BGD196615 BPZ196615 BZV196615 CJR196615 CTN196615 DDJ196615 DNF196615 DXB196615 EGX196615 EQT196615 FAP196615 FKL196615 FUH196615 GED196615 GNZ196615 GXV196615 HHR196615 HRN196615 IBJ196615 ILF196615 IVB196615 JEX196615 JOT196615 JYP196615 KIL196615 KSH196615 LCD196615 LLZ196615 LVV196615 MFR196615 MPN196615 MZJ196615 NJF196615 NTB196615 OCX196615 OMT196615 OWP196615 PGL196615 PQH196615 QAD196615 QJZ196615 QTV196615 RDR196615 RNN196615 RXJ196615 SHF196615 SRB196615 TAX196615 TKT196615 TUP196615 UEL196615 UOH196615 UYD196615 VHZ196615 VRV196615 WBR196615 WLN196615 WVJ196615 B262086 IX262151 ST262151 ACP262151 AML262151 AWH262151 BGD262151 BPZ262151 BZV262151 CJR262151 CTN262151 DDJ262151 DNF262151 DXB262151 EGX262151 EQT262151 FAP262151 FKL262151 FUH262151 GED262151 GNZ262151 GXV262151 HHR262151 HRN262151 IBJ262151 ILF262151 IVB262151 JEX262151 JOT262151 JYP262151 KIL262151 KSH262151 LCD262151 LLZ262151 LVV262151 MFR262151 MPN262151 MZJ262151 NJF262151 NTB262151 OCX262151 OMT262151 OWP262151 PGL262151 PQH262151 QAD262151 QJZ262151 QTV262151 RDR262151 RNN262151 RXJ262151 SHF262151 SRB262151 TAX262151 TKT262151 TUP262151 UEL262151 UOH262151 UYD262151 VHZ262151 VRV262151 WBR262151 WLN262151 WVJ262151 B327622 IX327687 ST327687 ACP327687 AML327687 AWH327687 BGD327687 BPZ327687 BZV327687 CJR327687 CTN327687 DDJ327687 DNF327687 DXB327687 EGX327687 EQT327687 FAP327687 FKL327687 FUH327687 GED327687 GNZ327687 GXV327687 HHR327687 HRN327687 IBJ327687 ILF327687 IVB327687 JEX327687 JOT327687 JYP327687 KIL327687 KSH327687 LCD327687 LLZ327687 LVV327687 MFR327687 MPN327687 MZJ327687 NJF327687 NTB327687 OCX327687 OMT327687 OWP327687 PGL327687 PQH327687 QAD327687 QJZ327687 QTV327687 RDR327687 RNN327687 RXJ327687 SHF327687 SRB327687 TAX327687 TKT327687 TUP327687 UEL327687 UOH327687 UYD327687 VHZ327687 VRV327687 WBR327687 WLN327687 WVJ327687 B393158 IX393223 ST393223 ACP393223 AML393223 AWH393223 BGD393223 BPZ393223 BZV393223 CJR393223 CTN393223 DDJ393223 DNF393223 DXB393223 EGX393223 EQT393223 FAP393223 FKL393223 FUH393223 GED393223 GNZ393223 GXV393223 HHR393223 HRN393223 IBJ393223 ILF393223 IVB393223 JEX393223 JOT393223 JYP393223 KIL393223 KSH393223 LCD393223 LLZ393223 LVV393223 MFR393223 MPN393223 MZJ393223 NJF393223 NTB393223 OCX393223 OMT393223 OWP393223 PGL393223 PQH393223 QAD393223 QJZ393223 QTV393223 RDR393223 RNN393223 RXJ393223 SHF393223 SRB393223 TAX393223 TKT393223 TUP393223 UEL393223 UOH393223 UYD393223 VHZ393223 VRV393223 WBR393223 WLN393223 WVJ393223 B458694 IX458759 ST458759 ACP458759 AML458759 AWH458759 BGD458759 BPZ458759 BZV458759 CJR458759 CTN458759 DDJ458759 DNF458759 DXB458759 EGX458759 EQT458759 FAP458759 FKL458759 FUH458759 GED458759 GNZ458759 GXV458759 HHR458759 HRN458759 IBJ458759 ILF458759 IVB458759 JEX458759 JOT458759 JYP458759 KIL458759 KSH458759 LCD458759 LLZ458759 LVV458759 MFR458759 MPN458759 MZJ458759 NJF458759 NTB458759 OCX458759 OMT458759 OWP458759 PGL458759 PQH458759 QAD458759 QJZ458759 QTV458759 RDR458759 RNN458759 RXJ458759 SHF458759 SRB458759 TAX458759 TKT458759 TUP458759 UEL458759 UOH458759 UYD458759 VHZ458759 VRV458759 WBR458759 WLN458759 WVJ458759 B524230 IX524295 ST524295 ACP524295 AML524295 AWH524295 BGD524295 BPZ524295 BZV524295 CJR524295 CTN524295 DDJ524295 DNF524295 DXB524295 EGX524295 EQT524295 FAP524295 FKL524295 FUH524295 GED524295 GNZ524295 GXV524295 HHR524295 HRN524295 IBJ524295 ILF524295 IVB524295 JEX524295 JOT524295 JYP524295 KIL524295 KSH524295 LCD524295 LLZ524295 LVV524295 MFR524295 MPN524295 MZJ524295 NJF524295 NTB524295 OCX524295 OMT524295 OWP524295 PGL524295 PQH524295 QAD524295 QJZ524295 QTV524295 RDR524295 RNN524295 RXJ524295 SHF524295 SRB524295 TAX524295 TKT524295 TUP524295 UEL524295 UOH524295 UYD524295 VHZ524295 VRV524295 WBR524295 WLN524295 WVJ524295 B589766 IX589831 ST589831 ACP589831 AML589831 AWH589831 BGD589831 BPZ589831 BZV589831 CJR589831 CTN589831 DDJ589831 DNF589831 DXB589831 EGX589831 EQT589831 FAP589831 FKL589831 FUH589831 GED589831 GNZ589831 GXV589831 HHR589831 HRN589831 IBJ589831 ILF589831 IVB589831 JEX589831 JOT589831 JYP589831 KIL589831 KSH589831 LCD589831 LLZ589831 LVV589831 MFR589831 MPN589831 MZJ589831 NJF589831 NTB589831 OCX589831 OMT589831 OWP589831 PGL589831 PQH589831 QAD589831 QJZ589831 QTV589831 RDR589831 RNN589831 RXJ589831 SHF589831 SRB589831 TAX589831 TKT589831 TUP589831 UEL589831 UOH589831 UYD589831 VHZ589831 VRV589831 WBR589831 WLN589831 WVJ589831 B655302 IX655367 ST655367 ACP655367 AML655367 AWH655367 BGD655367 BPZ655367 BZV655367 CJR655367 CTN655367 DDJ655367 DNF655367 DXB655367 EGX655367 EQT655367 FAP655367 FKL655367 FUH655367 GED655367 GNZ655367 GXV655367 HHR655367 HRN655367 IBJ655367 ILF655367 IVB655367 JEX655367 JOT655367 JYP655367 KIL655367 KSH655367 LCD655367 LLZ655367 LVV655367 MFR655367 MPN655367 MZJ655367 NJF655367 NTB655367 OCX655367 OMT655367 OWP655367 PGL655367 PQH655367 QAD655367 QJZ655367 QTV655367 RDR655367 RNN655367 RXJ655367 SHF655367 SRB655367 TAX655367 TKT655367 TUP655367 UEL655367 UOH655367 UYD655367 VHZ655367 VRV655367 WBR655367 WLN655367 WVJ655367 B720838 IX720903 ST720903 ACP720903 AML720903 AWH720903 BGD720903 BPZ720903 BZV720903 CJR720903 CTN720903 DDJ720903 DNF720903 DXB720903 EGX720903 EQT720903 FAP720903 FKL720903 FUH720903 GED720903 GNZ720903 GXV720903 HHR720903 HRN720903 IBJ720903 ILF720903 IVB720903 JEX720903 JOT720903 JYP720903 KIL720903 KSH720903 LCD720903 LLZ720903 LVV720903 MFR720903 MPN720903 MZJ720903 NJF720903 NTB720903 OCX720903 OMT720903 OWP720903 PGL720903 PQH720903 QAD720903 QJZ720903 QTV720903 RDR720903 RNN720903 RXJ720903 SHF720903 SRB720903 TAX720903 TKT720903 TUP720903 UEL720903 UOH720903 UYD720903 VHZ720903 VRV720903 WBR720903 WLN720903 WVJ720903 B786374 IX786439 ST786439 ACP786439 AML786439 AWH786439 BGD786439 BPZ786439 BZV786439 CJR786439 CTN786439 DDJ786439 DNF786439 DXB786439 EGX786439 EQT786439 FAP786439 FKL786439 FUH786439 GED786439 GNZ786439 GXV786439 HHR786439 HRN786439 IBJ786439 ILF786439 IVB786439 JEX786439 JOT786439 JYP786439 KIL786439 KSH786439 LCD786439 LLZ786439 LVV786439 MFR786439 MPN786439 MZJ786439 NJF786439 NTB786439 OCX786439 OMT786439 OWP786439 PGL786439 PQH786439 QAD786439 QJZ786439 QTV786439 RDR786439 RNN786439 RXJ786439 SHF786439 SRB786439 TAX786439 TKT786439 TUP786439 UEL786439 UOH786439 UYD786439 VHZ786439 VRV786439 WBR786439 WLN786439 WVJ786439 B851910 IX851975 ST851975 ACP851975 AML851975 AWH851975 BGD851975 BPZ851975 BZV851975 CJR851975 CTN851975 DDJ851975 DNF851975 DXB851975 EGX851975 EQT851975 FAP851975 FKL851975 FUH851975 GED851975 GNZ851975 GXV851975 HHR851975 HRN851975 IBJ851975 ILF851975 IVB851975 JEX851975 JOT851975 JYP851975 KIL851975 KSH851975 LCD851975 LLZ851975 LVV851975 MFR851975 MPN851975 MZJ851975 NJF851975 NTB851975 OCX851975 OMT851975 OWP851975 PGL851975 PQH851975 QAD851975 QJZ851975 QTV851975 RDR851975 RNN851975 RXJ851975 SHF851975 SRB851975 TAX851975 TKT851975 TUP851975 UEL851975 UOH851975 UYD851975 VHZ851975 VRV851975 WBR851975 WLN851975 WVJ851975 B917446 IX917511 ST917511 ACP917511 AML917511 AWH917511 BGD917511 BPZ917511 BZV917511 CJR917511 CTN917511 DDJ917511 DNF917511 DXB917511 EGX917511 EQT917511 FAP917511 FKL917511 FUH917511 GED917511 GNZ917511 GXV917511 HHR917511 HRN917511 IBJ917511 ILF917511 IVB917511 JEX917511 JOT917511 JYP917511 KIL917511 KSH917511 LCD917511 LLZ917511 LVV917511 MFR917511 MPN917511 MZJ917511 NJF917511 NTB917511 OCX917511 OMT917511 OWP917511 PGL917511 PQH917511 QAD917511 QJZ917511 QTV917511 RDR917511 RNN917511 RXJ917511 SHF917511 SRB917511 TAX917511 TKT917511 TUP917511 UEL917511 UOH917511 UYD917511 VHZ917511 VRV917511 WBR917511 WLN917511 WVJ917511 B982982 IX983047 ST983047 ACP983047 AML983047 AWH983047 BGD983047 BPZ983047 BZV983047 CJR983047 CTN983047 DDJ983047 DNF983047 DXB983047 EGX983047 EQT983047 FAP983047 FKL983047 FUH983047 GED983047 GNZ983047 GXV983047 HHR983047 HRN983047 IBJ983047 ILF983047 IVB983047 JEX983047 JOT983047 JYP983047 KIL983047 KSH983047 LCD983047 LLZ983047 LVV983047 MFR983047 MPN983047 MZJ983047 NJF983047 NTB983047 OCX983047 OMT983047 OWP983047 PGL983047 PQH983047 QAD983047 QJZ983047 QTV983047 RDR983047 RNN983047 RXJ983047 SHF983047 SRB983047 TAX983047 TKT983047 TUP983047 UEL983047 UOH983047 UYD983047 VHZ983047 VRV983047 WBR983047 WLN983047" xr:uid="{ED5D204A-B78E-45B5-9764-F00615019A47}">
      <formula1>$K$2:$K$126</formula1>
    </dataValidation>
    <dataValidation type="list" allowBlank="1" showInputMessage="1" showErrorMessage="1" sqref="B39 IX39 ST39 ACP39 AML39 AWH39 BGD39 BPZ39 BZV39 CJR39 CTN39 DDJ39 DNF39 DXB39 EGX39 EQT39 FAP39 FKL39 FUH39 GED39 GNZ39 GXV39 HHR39 HRN39 IBJ39 ILF39 IVB39 JEX39 JOT39 JYP39 KIL39 KSH39 LCD39 LLZ39 LVV39 MFR39 MPN39 MZJ39 NJF39 NTB39 OCX39 OMT39 OWP39 PGL39 PQH39 QAD39 QJZ39 QTV39 RDR39 RNN39 RXJ39 SHF39 SRB39 TAX39 TKT39 TUP39 UEL39 UOH39 UYD39 VHZ39 VRV39 WBR39 WLN39 WVJ39 B65510 IX65575 ST65575 ACP65575 AML65575 AWH65575 BGD65575 BPZ65575 BZV65575 CJR65575 CTN65575 DDJ65575 DNF65575 DXB65575 EGX65575 EQT65575 FAP65575 FKL65575 FUH65575 GED65575 GNZ65575 GXV65575 HHR65575 HRN65575 IBJ65575 ILF65575 IVB65575 JEX65575 JOT65575 JYP65575 KIL65575 KSH65575 LCD65575 LLZ65575 LVV65575 MFR65575 MPN65575 MZJ65575 NJF65575 NTB65575 OCX65575 OMT65575 OWP65575 PGL65575 PQH65575 QAD65575 QJZ65575 QTV65575 RDR65575 RNN65575 RXJ65575 SHF65575 SRB65575 TAX65575 TKT65575 TUP65575 UEL65575 UOH65575 UYD65575 VHZ65575 VRV65575 WBR65575 WLN65575 WVJ65575 B131046 IX131111 ST131111 ACP131111 AML131111 AWH131111 BGD131111 BPZ131111 BZV131111 CJR131111 CTN131111 DDJ131111 DNF131111 DXB131111 EGX131111 EQT131111 FAP131111 FKL131111 FUH131111 GED131111 GNZ131111 GXV131111 HHR131111 HRN131111 IBJ131111 ILF131111 IVB131111 JEX131111 JOT131111 JYP131111 KIL131111 KSH131111 LCD131111 LLZ131111 LVV131111 MFR131111 MPN131111 MZJ131111 NJF131111 NTB131111 OCX131111 OMT131111 OWP131111 PGL131111 PQH131111 QAD131111 QJZ131111 QTV131111 RDR131111 RNN131111 RXJ131111 SHF131111 SRB131111 TAX131111 TKT131111 TUP131111 UEL131111 UOH131111 UYD131111 VHZ131111 VRV131111 WBR131111 WLN131111 WVJ131111 B196582 IX196647 ST196647 ACP196647 AML196647 AWH196647 BGD196647 BPZ196647 BZV196647 CJR196647 CTN196647 DDJ196647 DNF196647 DXB196647 EGX196647 EQT196647 FAP196647 FKL196647 FUH196647 GED196647 GNZ196647 GXV196647 HHR196647 HRN196647 IBJ196647 ILF196647 IVB196647 JEX196647 JOT196647 JYP196647 KIL196647 KSH196647 LCD196647 LLZ196647 LVV196647 MFR196647 MPN196647 MZJ196647 NJF196647 NTB196647 OCX196647 OMT196647 OWP196647 PGL196647 PQH196647 QAD196647 QJZ196647 QTV196647 RDR196647 RNN196647 RXJ196647 SHF196647 SRB196647 TAX196647 TKT196647 TUP196647 UEL196647 UOH196647 UYD196647 VHZ196647 VRV196647 WBR196647 WLN196647 WVJ196647 B262118 IX262183 ST262183 ACP262183 AML262183 AWH262183 BGD262183 BPZ262183 BZV262183 CJR262183 CTN262183 DDJ262183 DNF262183 DXB262183 EGX262183 EQT262183 FAP262183 FKL262183 FUH262183 GED262183 GNZ262183 GXV262183 HHR262183 HRN262183 IBJ262183 ILF262183 IVB262183 JEX262183 JOT262183 JYP262183 KIL262183 KSH262183 LCD262183 LLZ262183 LVV262183 MFR262183 MPN262183 MZJ262183 NJF262183 NTB262183 OCX262183 OMT262183 OWP262183 PGL262183 PQH262183 QAD262183 QJZ262183 QTV262183 RDR262183 RNN262183 RXJ262183 SHF262183 SRB262183 TAX262183 TKT262183 TUP262183 UEL262183 UOH262183 UYD262183 VHZ262183 VRV262183 WBR262183 WLN262183 WVJ262183 B327654 IX327719 ST327719 ACP327719 AML327719 AWH327719 BGD327719 BPZ327719 BZV327719 CJR327719 CTN327719 DDJ327719 DNF327719 DXB327719 EGX327719 EQT327719 FAP327719 FKL327719 FUH327719 GED327719 GNZ327719 GXV327719 HHR327719 HRN327719 IBJ327719 ILF327719 IVB327719 JEX327719 JOT327719 JYP327719 KIL327719 KSH327719 LCD327719 LLZ327719 LVV327719 MFR327719 MPN327719 MZJ327719 NJF327719 NTB327719 OCX327719 OMT327719 OWP327719 PGL327719 PQH327719 QAD327719 QJZ327719 QTV327719 RDR327719 RNN327719 RXJ327719 SHF327719 SRB327719 TAX327719 TKT327719 TUP327719 UEL327719 UOH327719 UYD327719 VHZ327719 VRV327719 WBR327719 WLN327719 WVJ327719 B393190 IX393255 ST393255 ACP393255 AML393255 AWH393255 BGD393255 BPZ393255 BZV393255 CJR393255 CTN393255 DDJ393255 DNF393255 DXB393255 EGX393255 EQT393255 FAP393255 FKL393255 FUH393255 GED393255 GNZ393255 GXV393255 HHR393255 HRN393255 IBJ393255 ILF393255 IVB393255 JEX393255 JOT393255 JYP393255 KIL393255 KSH393255 LCD393255 LLZ393255 LVV393255 MFR393255 MPN393255 MZJ393255 NJF393255 NTB393255 OCX393255 OMT393255 OWP393255 PGL393255 PQH393255 QAD393255 QJZ393255 QTV393255 RDR393255 RNN393255 RXJ393255 SHF393255 SRB393255 TAX393255 TKT393255 TUP393255 UEL393255 UOH393255 UYD393255 VHZ393255 VRV393255 WBR393255 WLN393255 WVJ393255 B458726 IX458791 ST458791 ACP458791 AML458791 AWH458791 BGD458791 BPZ458791 BZV458791 CJR458791 CTN458791 DDJ458791 DNF458791 DXB458791 EGX458791 EQT458791 FAP458791 FKL458791 FUH458791 GED458791 GNZ458791 GXV458791 HHR458791 HRN458791 IBJ458791 ILF458791 IVB458791 JEX458791 JOT458791 JYP458791 KIL458791 KSH458791 LCD458791 LLZ458791 LVV458791 MFR458791 MPN458791 MZJ458791 NJF458791 NTB458791 OCX458791 OMT458791 OWP458791 PGL458791 PQH458791 QAD458791 QJZ458791 QTV458791 RDR458791 RNN458791 RXJ458791 SHF458791 SRB458791 TAX458791 TKT458791 TUP458791 UEL458791 UOH458791 UYD458791 VHZ458791 VRV458791 WBR458791 WLN458791 WVJ458791 B524262 IX524327 ST524327 ACP524327 AML524327 AWH524327 BGD524327 BPZ524327 BZV524327 CJR524327 CTN524327 DDJ524327 DNF524327 DXB524327 EGX524327 EQT524327 FAP524327 FKL524327 FUH524327 GED524327 GNZ524327 GXV524327 HHR524327 HRN524327 IBJ524327 ILF524327 IVB524327 JEX524327 JOT524327 JYP524327 KIL524327 KSH524327 LCD524327 LLZ524327 LVV524327 MFR524327 MPN524327 MZJ524327 NJF524327 NTB524327 OCX524327 OMT524327 OWP524327 PGL524327 PQH524327 QAD524327 QJZ524327 QTV524327 RDR524327 RNN524327 RXJ524327 SHF524327 SRB524327 TAX524327 TKT524327 TUP524327 UEL524327 UOH524327 UYD524327 VHZ524327 VRV524327 WBR524327 WLN524327 WVJ524327 B589798 IX589863 ST589863 ACP589863 AML589863 AWH589863 BGD589863 BPZ589863 BZV589863 CJR589863 CTN589863 DDJ589863 DNF589863 DXB589863 EGX589863 EQT589863 FAP589863 FKL589863 FUH589863 GED589863 GNZ589863 GXV589863 HHR589863 HRN589863 IBJ589863 ILF589863 IVB589863 JEX589863 JOT589863 JYP589863 KIL589863 KSH589863 LCD589863 LLZ589863 LVV589863 MFR589863 MPN589863 MZJ589863 NJF589863 NTB589863 OCX589863 OMT589863 OWP589863 PGL589863 PQH589863 QAD589863 QJZ589863 QTV589863 RDR589863 RNN589863 RXJ589863 SHF589863 SRB589863 TAX589863 TKT589863 TUP589863 UEL589863 UOH589863 UYD589863 VHZ589863 VRV589863 WBR589863 WLN589863 WVJ589863 B655334 IX655399 ST655399 ACP655399 AML655399 AWH655399 BGD655399 BPZ655399 BZV655399 CJR655399 CTN655399 DDJ655399 DNF655399 DXB655399 EGX655399 EQT655399 FAP655399 FKL655399 FUH655399 GED655399 GNZ655399 GXV655399 HHR655399 HRN655399 IBJ655399 ILF655399 IVB655399 JEX655399 JOT655399 JYP655399 KIL655399 KSH655399 LCD655399 LLZ655399 LVV655399 MFR655399 MPN655399 MZJ655399 NJF655399 NTB655399 OCX655399 OMT655399 OWP655399 PGL655399 PQH655399 QAD655399 QJZ655399 QTV655399 RDR655399 RNN655399 RXJ655399 SHF655399 SRB655399 TAX655399 TKT655399 TUP655399 UEL655399 UOH655399 UYD655399 VHZ655399 VRV655399 WBR655399 WLN655399 WVJ655399 B720870 IX720935 ST720935 ACP720935 AML720935 AWH720935 BGD720935 BPZ720935 BZV720935 CJR720935 CTN720935 DDJ720935 DNF720935 DXB720935 EGX720935 EQT720935 FAP720935 FKL720935 FUH720935 GED720935 GNZ720935 GXV720935 HHR720935 HRN720935 IBJ720935 ILF720935 IVB720935 JEX720935 JOT720935 JYP720935 KIL720935 KSH720935 LCD720935 LLZ720935 LVV720935 MFR720935 MPN720935 MZJ720935 NJF720935 NTB720935 OCX720935 OMT720935 OWP720935 PGL720935 PQH720935 QAD720935 QJZ720935 QTV720935 RDR720935 RNN720935 RXJ720935 SHF720935 SRB720935 TAX720935 TKT720935 TUP720935 UEL720935 UOH720935 UYD720935 VHZ720935 VRV720935 WBR720935 WLN720935 WVJ720935 B786406 IX786471 ST786471 ACP786471 AML786471 AWH786471 BGD786471 BPZ786471 BZV786471 CJR786471 CTN786471 DDJ786471 DNF786471 DXB786471 EGX786471 EQT786471 FAP786471 FKL786471 FUH786471 GED786471 GNZ786471 GXV786471 HHR786471 HRN786471 IBJ786471 ILF786471 IVB786471 JEX786471 JOT786471 JYP786471 KIL786471 KSH786471 LCD786471 LLZ786471 LVV786471 MFR786471 MPN786471 MZJ786471 NJF786471 NTB786471 OCX786471 OMT786471 OWP786471 PGL786471 PQH786471 QAD786471 QJZ786471 QTV786471 RDR786471 RNN786471 RXJ786471 SHF786471 SRB786471 TAX786471 TKT786471 TUP786471 UEL786471 UOH786471 UYD786471 VHZ786471 VRV786471 WBR786471 WLN786471 WVJ786471 B851942 IX852007 ST852007 ACP852007 AML852007 AWH852007 BGD852007 BPZ852007 BZV852007 CJR852007 CTN852007 DDJ852007 DNF852007 DXB852007 EGX852007 EQT852007 FAP852007 FKL852007 FUH852007 GED852007 GNZ852007 GXV852007 HHR852007 HRN852007 IBJ852007 ILF852007 IVB852007 JEX852007 JOT852007 JYP852007 KIL852007 KSH852007 LCD852007 LLZ852007 LVV852007 MFR852007 MPN852007 MZJ852007 NJF852007 NTB852007 OCX852007 OMT852007 OWP852007 PGL852007 PQH852007 QAD852007 QJZ852007 QTV852007 RDR852007 RNN852007 RXJ852007 SHF852007 SRB852007 TAX852007 TKT852007 TUP852007 UEL852007 UOH852007 UYD852007 VHZ852007 VRV852007 WBR852007 WLN852007 WVJ852007 B917478 IX917543 ST917543 ACP917543 AML917543 AWH917543 BGD917543 BPZ917543 BZV917543 CJR917543 CTN917543 DDJ917543 DNF917543 DXB917543 EGX917543 EQT917543 FAP917543 FKL917543 FUH917543 GED917543 GNZ917543 GXV917543 HHR917543 HRN917543 IBJ917543 ILF917543 IVB917543 JEX917543 JOT917543 JYP917543 KIL917543 KSH917543 LCD917543 LLZ917543 LVV917543 MFR917543 MPN917543 MZJ917543 NJF917543 NTB917543 OCX917543 OMT917543 OWP917543 PGL917543 PQH917543 QAD917543 QJZ917543 QTV917543 RDR917543 RNN917543 RXJ917543 SHF917543 SRB917543 TAX917543 TKT917543 TUP917543 UEL917543 UOH917543 UYD917543 VHZ917543 VRV917543 WBR917543 WLN917543 WVJ917543 B983014 IX983079 ST983079 ACP983079 AML983079 AWH983079 BGD983079 BPZ983079 BZV983079 CJR983079 CTN983079 DDJ983079 DNF983079 DXB983079 EGX983079 EQT983079 FAP983079 FKL983079 FUH983079 GED983079 GNZ983079 GXV983079 HHR983079 HRN983079 IBJ983079 ILF983079 IVB983079 JEX983079 JOT983079 JYP983079 KIL983079 KSH983079 LCD983079 LLZ983079 LVV983079 MFR983079 MPN983079 MZJ983079 NJF983079 NTB983079 OCX983079 OMT983079 OWP983079 PGL983079 PQH983079 QAD983079 QJZ983079 QTV983079 RDR983079 RNN983079 RXJ983079 SHF983079 SRB983079 TAX983079 TKT983079 TUP983079 UEL983079 UOH983079 UYD983079 VHZ983079 VRV983079 WBR983079 WLN983079 WVJ983079 B45 IX45 ST45 ACP45 AML45 AWH45 BGD45 BPZ45 BZV45 CJR45 CTN45 DDJ45 DNF45 DXB45 EGX45 EQT45 FAP45 FKL45 FUH45 GED45 GNZ45 GXV45 HHR45 HRN45 IBJ45 ILF45 IVB45 JEX45 JOT45 JYP45 KIL45 KSH45 LCD45 LLZ45 LVV45 MFR45 MPN45 MZJ45 NJF45 NTB45 OCX45 OMT45 OWP45 PGL45 PQH45 QAD45 QJZ45 QTV45 RDR45 RNN45 RXJ45 SHF45 SRB45 TAX45 TKT45 TUP45 UEL45 UOH45 UYD45 VHZ45 VRV45 WBR45 WLN45 WVJ45 B65516 IX65581 ST65581 ACP65581 AML65581 AWH65581 BGD65581 BPZ65581 BZV65581 CJR65581 CTN65581 DDJ65581 DNF65581 DXB65581 EGX65581 EQT65581 FAP65581 FKL65581 FUH65581 GED65581 GNZ65581 GXV65581 HHR65581 HRN65581 IBJ65581 ILF65581 IVB65581 JEX65581 JOT65581 JYP65581 KIL65581 KSH65581 LCD65581 LLZ65581 LVV65581 MFR65581 MPN65581 MZJ65581 NJF65581 NTB65581 OCX65581 OMT65581 OWP65581 PGL65581 PQH65581 QAD65581 QJZ65581 QTV65581 RDR65581 RNN65581 RXJ65581 SHF65581 SRB65581 TAX65581 TKT65581 TUP65581 UEL65581 UOH65581 UYD65581 VHZ65581 VRV65581 WBR65581 WLN65581 WVJ65581 B131052 IX131117 ST131117 ACP131117 AML131117 AWH131117 BGD131117 BPZ131117 BZV131117 CJR131117 CTN131117 DDJ131117 DNF131117 DXB131117 EGX131117 EQT131117 FAP131117 FKL131117 FUH131117 GED131117 GNZ131117 GXV131117 HHR131117 HRN131117 IBJ131117 ILF131117 IVB131117 JEX131117 JOT131117 JYP131117 KIL131117 KSH131117 LCD131117 LLZ131117 LVV131117 MFR131117 MPN131117 MZJ131117 NJF131117 NTB131117 OCX131117 OMT131117 OWP131117 PGL131117 PQH131117 QAD131117 QJZ131117 QTV131117 RDR131117 RNN131117 RXJ131117 SHF131117 SRB131117 TAX131117 TKT131117 TUP131117 UEL131117 UOH131117 UYD131117 VHZ131117 VRV131117 WBR131117 WLN131117 WVJ131117 B196588 IX196653 ST196653 ACP196653 AML196653 AWH196653 BGD196653 BPZ196653 BZV196653 CJR196653 CTN196653 DDJ196653 DNF196653 DXB196653 EGX196653 EQT196653 FAP196653 FKL196653 FUH196653 GED196653 GNZ196653 GXV196653 HHR196653 HRN196653 IBJ196653 ILF196653 IVB196653 JEX196653 JOT196653 JYP196653 KIL196653 KSH196653 LCD196653 LLZ196653 LVV196653 MFR196653 MPN196653 MZJ196653 NJF196653 NTB196653 OCX196653 OMT196653 OWP196653 PGL196653 PQH196653 QAD196653 QJZ196653 QTV196653 RDR196653 RNN196653 RXJ196653 SHF196653 SRB196653 TAX196653 TKT196653 TUP196653 UEL196653 UOH196653 UYD196653 VHZ196653 VRV196653 WBR196653 WLN196653 WVJ196653 B262124 IX262189 ST262189 ACP262189 AML262189 AWH262189 BGD262189 BPZ262189 BZV262189 CJR262189 CTN262189 DDJ262189 DNF262189 DXB262189 EGX262189 EQT262189 FAP262189 FKL262189 FUH262189 GED262189 GNZ262189 GXV262189 HHR262189 HRN262189 IBJ262189 ILF262189 IVB262189 JEX262189 JOT262189 JYP262189 KIL262189 KSH262189 LCD262189 LLZ262189 LVV262189 MFR262189 MPN262189 MZJ262189 NJF262189 NTB262189 OCX262189 OMT262189 OWP262189 PGL262189 PQH262189 QAD262189 QJZ262189 QTV262189 RDR262189 RNN262189 RXJ262189 SHF262189 SRB262189 TAX262189 TKT262189 TUP262189 UEL262189 UOH262189 UYD262189 VHZ262189 VRV262189 WBR262189 WLN262189 WVJ262189 B327660 IX327725 ST327725 ACP327725 AML327725 AWH327725 BGD327725 BPZ327725 BZV327725 CJR327725 CTN327725 DDJ327725 DNF327725 DXB327725 EGX327725 EQT327725 FAP327725 FKL327725 FUH327725 GED327725 GNZ327725 GXV327725 HHR327725 HRN327725 IBJ327725 ILF327725 IVB327725 JEX327725 JOT327725 JYP327725 KIL327725 KSH327725 LCD327725 LLZ327725 LVV327725 MFR327725 MPN327725 MZJ327725 NJF327725 NTB327725 OCX327725 OMT327725 OWP327725 PGL327725 PQH327725 QAD327725 QJZ327725 QTV327725 RDR327725 RNN327725 RXJ327725 SHF327725 SRB327725 TAX327725 TKT327725 TUP327725 UEL327725 UOH327725 UYD327725 VHZ327725 VRV327725 WBR327725 WLN327725 WVJ327725 B393196 IX393261 ST393261 ACP393261 AML393261 AWH393261 BGD393261 BPZ393261 BZV393261 CJR393261 CTN393261 DDJ393261 DNF393261 DXB393261 EGX393261 EQT393261 FAP393261 FKL393261 FUH393261 GED393261 GNZ393261 GXV393261 HHR393261 HRN393261 IBJ393261 ILF393261 IVB393261 JEX393261 JOT393261 JYP393261 KIL393261 KSH393261 LCD393261 LLZ393261 LVV393261 MFR393261 MPN393261 MZJ393261 NJF393261 NTB393261 OCX393261 OMT393261 OWP393261 PGL393261 PQH393261 QAD393261 QJZ393261 QTV393261 RDR393261 RNN393261 RXJ393261 SHF393261 SRB393261 TAX393261 TKT393261 TUP393261 UEL393261 UOH393261 UYD393261 VHZ393261 VRV393261 WBR393261 WLN393261 WVJ393261 B458732 IX458797 ST458797 ACP458797 AML458797 AWH458797 BGD458797 BPZ458797 BZV458797 CJR458797 CTN458797 DDJ458797 DNF458797 DXB458797 EGX458797 EQT458797 FAP458797 FKL458797 FUH458797 GED458797 GNZ458797 GXV458797 HHR458797 HRN458797 IBJ458797 ILF458797 IVB458797 JEX458797 JOT458797 JYP458797 KIL458797 KSH458797 LCD458797 LLZ458797 LVV458797 MFR458797 MPN458797 MZJ458797 NJF458797 NTB458797 OCX458797 OMT458797 OWP458797 PGL458797 PQH458797 QAD458797 QJZ458797 QTV458797 RDR458797 RNN458797 RXJ458797 SHF458797 SRB458797 TAX458797 TKT458797 TUP458797 UEL458797 UOH458797 UYD458797 VHZ458797 VRV458797 WBR458797 WLN458797 WVJ458797 B524268 IX524333 ST524333 ACP524333 AML524333 AWH524333 BGD524333 BPZ524333 BZV524333 CJR524333 CTN524333 DDJ524333 DNF524333 DXB524333 EGX524333 EQT524333 FAP524333 FKL524333 FUH524333 GED524333 GNZ524333 GXV524333 HHR524333 HRN524333 IBJ524333 ILF524333 IVB524333 JEX524333 JOT524333 JYP524333 KIL524333 KSH524333 LCD524333 LLZ524333 LVV524333 MFR524333 MPN524333 MZJ524333 NJF524333 NTB524333 OCX524333 OMT524333 OWP524333 PGL524333 PQH524333 QAD524333 QJZ524333 QTV524333 RDR524333 RNN524333 RXJ524333 SHF524333 SRB524333 TAX524333 TKT524333 TUP524333 UEL524333 UOH524333 UYD524333 VHZ524333 VRV524333 WBR524333 WLN524333 WVJ524333 B589804 IX589869 ST589869 ACP589869 AML589869 AWH589869 BGD589869 BPZ589869 BZV589869 CJR589869 CTN589869 DDJ589869 DNF589869 DXB589869 EGX589869 EQT589869 FAP589869 FKL589869 FUH589869 GED589869 GNZ589869 GXV589869 HHR589869 HRN589869 IBJ589869 ILF589869 IVB589869 JEX589869 JOT589869 JYP589869 KIL589869 KSH589869 LCD589869 LLZ589869 LVV589869 MFR589869 MPN589869 MZJ589869 NJF589869 NTB589869 OCX589869 OMT589869 OWP589869 PGL589869 PQH589869 QAD589869 QJZ589869 QTV589869 RDR589869 RNN589869 RXJ589869 SHF589869 SRB589869 TAX589869 TKT589869 TUP589869 UEL589869 UOH589869 UYD589869 VHZ589869 VRV589869 WBR589869 WLN589869 WVJ589869 B655340 IX655405 ST655405 ACP655405 AML655405 AWH655405 BGD655405 BPZ655405 BZV655405 CJR655405 CTN655405 DDJ655405 DNF655405 DXB655405 EGX655405 EQT655405 FAP655405 FKL655405 FUH655405 GED655405 GNZ655405 GXV655405 HHR655405 HRN655405 IBJ655405 ILF655405 IVB655405 JEX655405 JOT655405 JYP655405 KIL655405 KSH655405 LCD655405 LLZ655405 LVV655405 MFR655405 MPN655405 MZJ655405 NJF655405 NTB655405 OCX655405 OMT655405 OWP655405 PGL655405 PQH655405 QAD655405 QJZ655405 QTV655405 RDR655405 RNN655405 RXJ655405 SHF655405 SRB655405 TAX655405 TKT655405 TUP655405 UEL655405 UOH655405 UYD655405 VHZ655405 VRV655405 WBR655405 WLN655405 WVJ655405 B720876 IX720941 ST720941 ACP720941 AML720941 AWH720941 BGD720941 BPZ720941 BZV720941 CJR720941 CTN720941 DDJ720941 DNF720941 DXB720941 EGX720941 EQT720941 FAP720941 FKL720941 FUH720941 GED720941 GNZ720941 GXV720941 HHR720941 HRN720941 IBJ720941 ILF720941 IVB720941 JEX720941 JOT720941 JYP720941 KIL720941 KSH720941 LCD720941 LLZ720941 LVV720941 MFR720941 MPN720941 MZJ720941 NJF720941 NTB720941 OCX720941 OMT720941 OWP720941 PGL720941 PQH720941 QAD720941 QJZ720941 QTV720941 RDR720941 RNN720941 RXJ720941 SHF720941 SRB720941 TAX720941 TKT720941 TUP720941 UEL720941 UOH720941 UYD720941 VHZ720941 VRV720941 WBR720941 WLN720941 WVJ720941 B786412 IX786477 ST786477 ACP786477 AML786477 AWH786477 BGD786477 BPZ786477 BZV786477 CJR786477 CTN786477 DDJ786477 DNF786477 DXB786477 EGX786477 EQT786477 FAP786477 FKL786477 FUH786477 GED786477 GNZ786477 GXV786477 HHR786477 HRN786477 IBJ786477 ILF786477 IVB786477 JEX786477 JOT786477 JYP786477 KIL786477 KSH786477 LCD786477 LLZ786477 LVV786477 MFR786477 MPN786477 MZJ786477 NJF786477 NTB786477 OCX786477 OMT786477 OWP786477 PGL786477 PQH786477 QAD786477 QJZ786477 QTV786477 RDR786477 RNN786477 RXJ786477 SHF786477 SRB786477 TAX786477 TKT786477 TUP786477 UEL786477 UOH786477 UYD786477 VHZ786477 VRV786477 WBR786477 WLN786477 WVJ786477 B851948 IX852013 ST852013 ACP852013 AML852013 AWH852013 BGD852013 BPZ852013 BZV852013 CJR852013 CTN852013 DDJ852013 DNF852013 DXB852013 EGX852013 EQT852013 FAP852013 FKL852013 FUH852013 GED852013 GNZ852013 GXV852013 HHR852013 HRN852013 IBJ852013 ILF852013 IVB852013 JEX852013 JOT852013 JYP852013 KIL852013 KSH852013 LCD852013 LLZ852013 LVV852013 MFR852013 MPN852013 MZJ852013 NJF852013 NTB852013 OCX852013 OMT852013 OWP852013 PGL852013 PQH852013 QAD852013 QJZ852013 QTV852013 RDR852013 RNN852013 RXJ852013 SHF852013 SRB852013 TAX852013 TKT852013 TUP852013 UEL852013 UOH852013 UYD852013 VHZ852013 VRV852013 WBR852013 WLN852013 WVJ852013 B917484 IX917549 ST917549 ACP917549 AML917549 AWH917549 BGD917549 BPZ917549 BZV917549 CJR917549 CTN917549 DDJ917549 DNF917549 DXB917549 EGX917549 EQT917549 FAP917549 FKL917549 FUH917549 GED917549 GNZ917549 GXV917549 HHR917549 HRN917549 IBJ917549 ILF917549 IVB917549 JEX917549 JOT917549 JYP917549 KIL917549 KSH917549 LCD917549 LLZ917549 LVV917549 MFR917549 MPN917549 MZJ917549 NJF917549 NTB917549 OCX917549 OMT917549 OWP917549 PGL917549 PQH917549 QAD917549 QJZ917549 QTV917549 RDR917549 RNN917549 RXJ917549 SHF917549 SRB917549 TAX917549 TKT917549 TUP917549 UEL917549 UOH917549 UYD917549 VHZ917549 VRV917549 WBR917549 WLN917549 WVJ917549 B983020 IX983085 ST983085 ACP983085 AML983085 AWH983085 BGD983085 BPZ983085 BZV983085 CJR983085 CTN983085 DDJ983085 DNF983085 DXB983085 EGX983085 EQT983085 FAP983085 FKL983085 FUH983085 GED983085 GNZ983085 GXV983085 HHR983085 HRN983085 IBJ983085 ILF983085 IVB983085 JEX983085 JOT983085 JYP983085 KIL983085 KSH983085 LCD983085 LLZ983085 LVV983085 MFR983085 MPN983085 MZJ983085 NJF983085 NTB983085 OCX983085 OMT983085 OWP983085 PGL983085 PQH983085 QAD983085 QJZ983085 QTV983085 RDR983085 RNN983085 RXJ983085 SHF983085 SRB983085 TAX983085 TKT983085 TUP983085 UEL983085 UOH983085 UYD983085 VHZ983085 VRV983085 WBR983085 WLN983085 WVJ983085" xr:uid="{6CCB4502-47C3-426B-94DA-8CD0F1851C37}">
      <formula1>$AI$2:$AI$54</formula1>
    </dataValidation>
    <dataValidation type="list" allowBlank="1" showInputMessage="1" showErrorMessage="1" sqref="A108 WVI983132 WLM983132 WBQ983132 VRU983132 VHY983132 UYC983132 UOG983132 UEK983132 TUO983132 TKS983132 TAW983132 SRA983132 SHE983132 RXI983132 RNM983132 RDQ983132 QTU983132 QJY983132 QAC983132 PQG983132 PGK983132 OWO983132 OMS983132 OCW983132 NTA983132 NJE983132 MZI983132 MPM983132 MFQ983132 LVU983132 LLY983132 LCC983132 KSG983132 KIK983132 JYO983132 JOS983132 JEW983132 IVA983132 ILE983132 IBI983132 HRM983132 HHQ983132 GXU983132 GNY983132 GEC983132 FUG983132 FKK983132 FAO983132 EQS983132 EGW983132 DXA983132 DNE983132 DDI983132 CTM983132 CJQ983132 BZU983132 BPY983132 BGC983132 AWG983132 AMK983132 ACO983132 SS983132 IW983132 A983067 WVI917596 WLM917596 WBQ917596 VRU917596 VHY917596 UYC917596 UOG917596 UEK917596 TUO917596 TKS917596 TAW917596 SRA917596 SHE917596 RXI917596 RNM917596 RDQ917596 QTU917596 QJY917596 QAC917596 PQG917596 PGK917596 OWO917596 OMS917596 OCW917596 NTA917596 NJE917596 MZI917596 MPM917596 MFQ917596 LVU917596 LLY917596 LCC917596 KSG917596 KIK917596 JYO917596 JOS917596 JEW917596 IVA917596 ILE917596 IBI917596 HRM917596 HHQ917596 GXU917596 GNY917596 GEC917596 FUG917596 FKK917596 FAO917596 EQS917596 EGW917596 DXA917596 DNE917596 DDI917596 CTM917596 CJQ917596 BZU917596 BPY917596 BGC917596 AWG917596 AMK917596 ACO917596 SS917596 IW917596 A917531 WVI852060 WLM852060 WBQ852060 VRU852060 VHY852060 UYC852060 UOG852060 UEK852060 TUO852060 TKS852060 TAW852060 SRA852060 SHE852060 RXI852060 RNM852060 RDQ852060 QTU852060 QJY852060 QAC852060 PQG852060 PGK852060 OWO852060 OMS852060 OCW852060 NTA852060 NJE852060 MZI852060 MPM852060 MFQ852060 LVU852060 LLY852060 LCC852060 KSG852060 KIK852060 JYO852060 JOS852060 JEW852060 IVA852060 ILE852060 IBI852060 HRM852060 HHQ852060 GXU852060 GNY852060 GEC852060 FUG852060 FKK852060 FAO852060 EQS852060 EGW852060 DXA852060 DNE852060 DDI852060 CTM852060 CJQ852060 BZU852060 BPY852060 BGC852060 AWG852060 AMK852060 ACO852060 SS852060 IW852060 A851995 WVI786524 WLM786524 WBQ786524 VRU786524 VHY786524 UYC786524 UOG786524 UEK786524 TUO786524 TKS786524 TAW786524 SRA786524 SHE786524 RXI786524 RNM786524 RDQ786524 QTU786524 QJY786524 QAC786524 PQG786524 PGK786524 OWO786524 OMS786524 OCW786524 NTA786524 NJE786524 MZI786524 MPM786524 MFQ786524 LVU786524 LLY786524 LCC786524 KSG786524 KIK786524 JYO786524 JOS786524 JEW786524 IVA786524 ILE786524 IBI786524 HRM786524 HHQ786524 GXU786524 GNY786524 GEC786524 FUG786524 FKK786524 FAO786524 EQS786524 EGW786524 DXA786524 DNE786524 DDI786524 CTM786524 CJQ786524 BZU786524 BPY786524 BGC786524 AWG786524 AMK786524 ACO786524 SS786524 IW786524 A786459 WVI720988 WLM720988 WBQ720988 VRU720988 VHY720988 UYC720988 UOG720988 UEK720988 TUO720988 TKS720988 TAW720988 SRA720988 SHE720988 RXI720988 RNM720988 RDQ720988 QTU720988 QJY720988 QAC720988 PQG720988 PGK720988 OWO720988 OMS720988 OCW720988 NTA720988 NJE720988 MZI720988 MPM720988 MFQ720988 LVU720988 LLY720988 LCC720988 KSG720988 KIK720988 JYO720988 JOS720988 JEW720988 IVA720988 ILE720988 IBI720988 HRM720988 HHQ720988 GXU720988 GNY720988 GEC720988 FUG720988 FKK720988 FAO720988 EQS720988 EGW720988 DXA720988 DNE720988 DDI720988 CTM720988 CJQ720988 BZU720988 BPY720988 BGC720988 AWG720988 AMK720988 ACO720988 SS720988 IW720988 A720923 WVI655452 WLM655452 WBQ655452 VRU655452 VHY655452 UYC655452 UOG655452 UEK655452 TUO655452 TKS655452 TAW655452 SRA655452 SHE655452 RXI655452 RNM655452 RDQ655452 QTU655452 QJY655452 QAC655452 PQG655452 PGK655452 OWO655452 OMS655452 OCW655452 NTA655452 NJE655452 MZI655452 MPM655452 MFQ655452 LVU655452 LLY655452 LCC655452 KSG655452 KIK655452 JYO655452 JOS655452 JEW655452 IVA655452 ILE655452 IBI655452 HRM655452 HHQ655452 GXU655452 GNY655452 GEC655452 FUG655452 FKK655452 FAO655452 EQS655452 EGW655452 DXA655452 DNE655452 DDI655452 CTM655452 CJQ655452 BZU655452 BPY655452 BGC655452 AWG655452 AMK655452 ACO655452 SS655452 IW655452 A655387 WVI589916 WLM589916 WBQ589916 VRU589916 VHY589916 UYC589916 UOG589916 UEK589916 TUO589916 TKS589916 TAW589916 SRA589916 SHE589916 RXI589916 RNM589916 RDQ589916 QTU589916 QJY589916 QAC589916 PQG589916 PGK589916 OWO589916 OMS589916 OCW589916 NTA589916 NJE589916 MZI589916 MPM589916 MFQ589916 LVU589916 LLY589916 LCC589916 KSG589916 KIK589916 JYO589916 JOS589916 JEW589916 IVA589916 ILE589916 IBI589916 HRM589916 HHQ589916 GXU589916 GNY589916 GEC589916 FUG589916 FKK589916 FAO589916 EQS589916 EGW589916 DXA589916 DNE589916 DDI589916 CTM589916 CJQ589916 BZU589916 BPY589916 BGC589916 AWG589916 AMK589916 ACO589916 SS589916 IW589916 A589851 WVI524380 WLM524380 WBQ524380 VRU524380 VHY524380 UYC524380 UOG524380 UEK524380 TUO524380 TKS524380 TAW524380 SRA524380 SHE524380 RXI524380 RNM524380 RDQ524380 QTU524380 QJY524380 QAC524380 PQG524380 PGK524380 OWO524380 OMS524380 OCW524380 NTA524380 NJE524380 MZI524380 MPM524380 MFQ524380 LVU524380 LLY524380 LCC524380 KSG524380 KIK524380 JYO524380 JOS524380 JEW524380 IVA524380 ILE524380 IBI524380 HRM524380 HHQ524380 GXU524380 GNY524380 GEC524380 FUG524380 FKK524380 FAO524380 EQS524380 EGW524380 DXA524380 DNE524380 DDI524380 CTM524380 CJQ524380 BZU524380 BPY524380 BGC524380 AWG524380 AMK524380 ACO524380 SS524380 IW524380 A524315 WVI458844 WLM458844 WBQ458844 VRU458844 VHY458844 UYC458844 UOG458844 UEK458844 TUO458844 TKS458844 TAW458844 SRA458844 SHE458844 RXI458844 RNM458844 RDQ458844 QTU458844 QJY458844 QAC458844 PQG458844 PGK458844 OWO458844 OMS458844 OCW458844 NTA458844 NJE458844 MZI458844 MPM458844 MFQ458844 LVU458844 LLY458844 LCC458844 KSG458844 KIK458844 JYO458844 JOS458844 JEW458844 IVA458844 ILE458844 IBI458844 HRM458844 HHQ458844 GXU458844 GNY458844 GEC458844 FUG458844 FKK458844 FAO458844 EQS458844 EGW458844 DXA458844 DNE458844 DDI458844 CTM458844 CJQ458844 BZU458844 BPY458844 BGC458844 AWG458844 AMK458844 ACO458844 SS458844 IW458844 A458779 WVI393308 WLM393308 WBQ393308 VRU393308 VHY393308 UYC393308 UOG393308 UEK393308 TUO393308 TKS393308 TAW393308 SRA393308 SHE393308 RXI393308 RNM393308 RDQ393308 QTU393308 QJY393308 QAC393308 PQG393308 PGK393308 OWO393308 OMS393308 OCW393308 NTA393308 NJE393308 MZI393308 MPM393308 MFQ393308 LVU393308 LLY393308 LCC393308 KSG393308 KIK393308 JYO393308 JOS393308 JEW393308 IVA393308 ILE393308 IBI393308 HRM393308 HHQ393308 GXU393308 GNY393308 GEC393308 FUG393308 FKK393308 FAO393308 EQS393308 EGW393308 DXA393308 DNE393308 DDI393308 CTM393308 CJQ393308 BZU393308 BPY393308 BGC393308 AWG393308 AMK393308 ACO393308 SS393308 IW393308 A393243 WVI327772 WLM327772 WBQ327772 VRU327772 VHY327772 UYC327772 UOG327772 UEK327772 TUO327772 TKS327772 TAW327772 SRA327772 SHE327772 RXI327772 RNM327772 RDQ327772 QTU327772 QJY327772 QAC327772 PQG327772 PGK327772 OWO327772 OMS327772 OCW327772 NTA327772 NJE327772 MZI327772 MPM327772 MFQ327772 LVU327772 LLY327772 LCC327772 KSG327772 KIK327772 JYO327772 JOS327772 JEW327772 IVA327772 ILE327772 IBI327772 HRM327772 HHQ327772 GXU327772 GNY327772 GEC327772 FUG327772 FKK327772 FAO327772 EQS327772 EGW327772 DXA327772 DNE327772 DDI327772 CTM327772 CJQ327772 BZU327772 BPY327772 BGC327772 AWG327772 AMK327772 ACO327772 SS327772 IW327772 A327707 WVI262236 WLM262236 WBQ262236 VRU262236 VHY262236 UYC262236 UOG262236 UEK262236 TUO262236 TKS262236 TAW262236 SRA262236 SHE262236 RXI262236 RNM262236 RDQ262236 QTU262236 QJY262236 QAC262236 PQG262236 PGK262236 OWO262236 OMS262236 OCW262236 NTA262236 NJE262236 MZI262236 MPM262236 MFQ262236 LVU262236 LLY262236 LCC262236 KSG262236 KIK262236 JYO262236 JOS262236 JEW262236 IVA262236 ILE262236 IBI262236 HRM262236 HHQ262236 GXU262236 GNY262236 GEC262236 FUG262236 FKK262236 FAO262236 EQS262236 EGW262236 DXA262236 DNE262236 DDI262236 CTM262236 CJQ262236 BZU262236 BPY262236 BGC262236 AWG262236 AMK262236 ACO262236 SS262236 IW262236 A262171 WVI196700 WLM196700 WBQ196700 VRU196700 VHY196700 UYC196700 UOG196700 UEK196700 TUO196700 TKS196700 TAW196700 SRA196700 SHE196700 RXI196700 RNM196700 RDQ196700 QTU196700 QJY196700 QAC196700 PQG196700 PGK196700 OWO196700 OMS196700 OCW196700 NTA196700 NJE196700 MZI196700 MPM196700 MFQ196700 LVU196700 LLY196700 LCC196700 KSG196700 KIK196700 JYO196700 JOS196700 JEW196700 IVA196700 ILE196700 IBI196700 HRM196700 HHQ196700 GXU196700 GNY196700 GEC196700 FUG196700 FKK196700 FAO196700 EQS196700 EGW196700 DXA196700 DNE196700 DDI196700 CTM196700 CJQ196700 BZU196700 BPY196700 BGC196700 AWG196700 AMK196700 ACO196700 SS196700 IW196700 A196635 WVI131164 WLM131164 WBQ131164 VRU131164 VHY131164 UYC131164 UOG131164 UEK131164 TUO131164 TKS131164 TAW131164 SRA131164 SHE131164 RXI131164 RNM131164 RDQ131164 QTU131164 QJY131164 QAC131164 PQG131164 PGK131164 OWO131164 OMS131164 OCW131164 NTA131164 NJE131164 MZI131164 MPM131164 MFQ131164 LVU131164 LLY131164 LCC131164 KSG131164 KIK131164 JYO131164 JOS131164 JEW131164 IVA131164 ILE131164 IBI131164 HRM131164 HHQ131164 GXU131164 GNY131164 GEC131164 FUG131164 FKK131164 FAO131164 EQS131164 EGW131164 DXA131164 DNE131164 DDI131164 CTM131164 CJQ131164 BZU131164 BPY131164 BGC131164 AWG131164 AMK131164 ACO131164 SS131164 IW131164 A131099 WVI65628 WLM65628 WBQ65628 VRU65628 VHY65628 UYC65628 UOG65628 UEK65628 TUO65628 TKS65628 TAW65628 SRA65628 SHE65628 RXI65628 RNM65628 RDQ65628 QTU65628 QJY65628 QAC65628 PQG65628 PGK65628 OWO65628 OMS65628 OCW65628 NTA65628 NJE65628 MZI65628 MPM65628 MFQ65628 LVU65628 LLY65628 LCC65628 KSG65628 KIK65628 JYO65628 JOS65628 JEW65628 IVA65628 ILE65628 IBI65628 HRM65628 HHQ65628 GXU65628 GNY65628 GEC65628 FUG65628 FKK65628 FAO65628 EQS65628 EGW65628 DXA65628 DNE65628 DDI65628 CTM65628 CJQ65628 BZU65628 BPY65628 BGC65628 AWG65628 AMK65628 ACO65628 SS65628 IW65628 A65563 WVI93 WLM93 WBQ93 VRU93 VHY93 UYC93 UOG93 UEK93 TUO93 TKS93 TAW93 SRA93 SHE93 RXI93 RNM93 RDQ93 QTU93 QJY93 QAC93 PQG93 PGK93 OWO93 OMS93 OCW93 NTA93 NJE93 MZI93 MPM93 MFQ93 LVU93 LLY93 LCC93 KSG93 KIK93 JYO93 JOS93 JEW93 IVA93 ILE93 IBI93 HRM93 HHQ93 GXU93 GNY93 GEC93 FUG93 FKK93 FAO93 EQS93 EGW93 DXA93 DNE93 DDI93 CTM93 CJQ93 BZU93 BPY93 BGC93 AWG93 AMK93 ACO93 SS93 IW93 A93 WVI983147 WLM983147 WBQ983147 VRU983147 VHY983147 UYC983147 UOG983147 UEK983147 TUO983147 TKS983147 TAW983147 SRA983147 SHE983147 RXI983147 RNM983147 RDQ983147 QTU983147 QJY983147 QAC983147 PQG983147 PGK983147 OWO983147 OMS983147 OCW983147 NTA983147 NJE983147 MZI983147 MPM983147 MFQ983147 LVU983147 LLY983147 LCC983147 KSG983147 KIK983147 JYO983147 JOS983147 JEW983147 IVA983147 ILE983147 IBI983147 HRM983147 HHQ983147 GXU983147 GNY983147 GEC983147 FUG983147 FKK983147 FAO983147 EQS983147 EGW983147 DXA983147 DNE983147 DDI983147 CTM983147 CJQ983147 BZU983147 BPY983147 BGC983147 AWG983147 AMK983147 ACO983147 SS983147 IW983147 A983082 WVI917611 WLM917611 WBQ917611 VRU917611 VHY917611 UYC917611 UOG917611 UEK917611 TUO917611 TKS917611 TAW917611 SRA917611 SHE917611 RXI917611 RNM917611 RDQ917611 QTU917611 QJY917611 QAC917611 PQG917611 PGK917611 OWO917611 OMS917611 OCW917611 NTA917611 NJE917611 MZI917611 MPM917611 MFQ917611 LVU917611 LLY917611 LCC917611 KSG917611 KIK917611 JYO917611 JOS917611 JEW917611 IVA917611 ILE917611 IBI917611 HRM917611 HHQ917611 GXU917611 GNY917611 GEC917611 FUG917611 FKK917611 FAO917611 EQS917611 EGW917611 DXA917611 DNE917611 DDI917611 CTM917611 CJQ917611 BZU917611 BPY917611 BGC917611 AWG917611 AMK917611 ACO917611 SS917611 IW917611 A917546 WVI852075 WLM852075 WBQ852075 VRU852075 VHY852075 UYC852075 UOG852075 UEK852075 TUO852075 TKS852075 TAW852075 SRA852075 SHE852075 RXI852075 RNM852075 RDQ852075 QTU852075 QJY852075 QAC852075 PQG852075 PGK852075 OWO852075 OMS852075 OCW852075 NTA852075 NJE852075 MZI852075 MPM852075 MFQ852075 LVU852075 LLY852075 LCC852075 KSG852075 KIK852075 JYO852075 JOS852075 JEW852075 IVA852075 ILE852075 IBI852075 HRM852075 HHQ852075 GXU852075 GNY852075 GEC852075 FUG852075 FKK852075 FAO852075 EQS852075 EGW852075 DXA852075 DNE852075 DDI852075 CTM852075 CJQ852075 BZU852075 BPY852075 BGC852075 AWG852075 AMK852075 ACO852075 SS852075 IW852075 A852010 WVI786539 WLM786539 WBQ786539 VRU786539 VHY786539 UYC786539 UOG786539 UEK786539 TUO786539 TKS786539 TAW786539 SRA786539 SHE786539 RXI786539 RNM786539 RDQ786539 QTU786539 QJY786539 QAC786539 PQG786539 PGK786539 OWO786539 OMS786539 OCW786539 NTA786539 NJE786539 MZI786539 MPM786539 MFQ786539 LVU786539 LLY786539 LCC786539 KSG786539 KIK786539 JYO786539 JOS786539 JEW786539 IVA786539 ILE786539 IBI786539 HRM786539 HHQ786539 GXU786539 GNY786539 GEC786539 FUG786539 FKK786539 FAO786539 EQS786539 EGW786539 DXA786539 DNE786539 DDI786539 CTM786539 CJQ786539 BZU786539 BPY786539 BGC786539 AWG786539 AMK786539 ACO786539 SS786539 IW786539 A786474 WVI721003 WLM721003 WBQ721003 VRU721003 VHY721003 UYC721003 UOG721003 UEK721003 TUO721003 TKS721003 TAW721003 SRA721003 SHE721003 RXI721003 RNM721003 RDQ721003 QTU721003 QJY721003 QAC721003 PQG721003 PGK721003 OWO721003 OMS721003 OCW721003 NTA721003 NJE721003 MZI721003 MPM721003 MFQ721003 LVU721003 LLY721003 LCC721003 KSG721003 KIK721003 JYO721003 JOS721003 JEW721003 IVA721003 ILE721003 IBI721003 HRM721003 HHQ721003 GXU721003 GNY721003 GEC721003 FUG721003 FKK721003 FAO721003 EQS721003 EGW721003 DXA721003 DNE721003 DDI721003 CTM721003 CJQ721003 BZU721003 BPY721003 BGC721003 AWG721003 AMK721003 ACO721003 SS721003 IW721003 A720938 WVI655467 WLM655467 WBQ655467 VRU655467 VHY655467 UYC655467 UOG655467 UEK655467 TUO655467 TKS655467 TAW655467 SRA655467 SHE655467 RXI655467 RNM655467 RDQ655467 QTU655467 QJY655467 QAC655467 PQG655467 PGK655467 OWO655467 OMS655467 OCW655467 NTA655467 NJE655467 MZI655467 MPM655467 MFQ655467 LVU655467 LLY655467 LCC655467 KSG655467 KIK655467 JYO655467 JOS655467 JEW655467 IVA655467 ILE655467 IBI655467 HRM655467 HHQ655467 GXU655467 GNY655467 GEC655467 FUG655467 FKK655467 FAO655467 EQS655467 EGW655467 DXA655467 DNE655467 DDI655467 CTM655467 CJQ655467 BZU655467 BPY655467 BGC655467 AWG655467 AMK655467 ACO655467 SS655467 IW655467 A655402 WVI589931 WLM589931 WBQ589931 VRU589931 VHY589931 UYC589931 UOG589931 UEK589931 TUO589931 TKS589931 TAW589931 SRA589931 SHE589931 RXI589931 RNM589931 RDQ589931 QTU589931 QJY589931 QAC589931 PQG589931 PGK589931 OWO589931 OMS589931 OCW589931 NTA589931 NJE589931 MZI589931 MPM589931 MFQ589931 LVU589931 LLY589931 LCC589931 KSG589931 KIK589931 JYO589931 JOS589931 JEW589931 IVA589931 ILE589931 IBI589931 HRM589931 HHQ589931 GXU589931 GNY589931 GEC589931 FUG589931 FKK589931 FAO589931 EQS589931 EGW589931 DXA589931 DNE589931 DDI589931 CTM589931 CJQ589931 BZU589931 BPY589931 BGC589931 AWG589931 AMK589931 ACO589931 SS589931 IW589931 A589866 WVI524395 WLM524395 WBQ524395 VRU524395 VHY524395 UYC524395 UOG524395 UEK524395 TUO524395 TKS524395 TAW524395 SRA524395 SHE524395 RXI524395 RNM524395 RDQ524395 QTU524395 QJY524395 QAC524395 PQG524395 PGK524395 OWO524395 OMS524395 OCW524395 NTA524395 NJE524395 MZI524395 MPM524395 MFQ524395 LVU524395 LLY524395 LCC524395 KSG524395 KIK524395 JYO524395 JOS524395 JEW524395 IVA524395 ILE524395 IBI524395 HRM524395 HHQ524395 GXU524395 GNY524395 GEC524395 FUG524395 FKK524395 FAO524395 EQS524395 EGW524395 DXA524395 DNE524395 DDI524395 CTM524395 CJQ524395 BZU524395 BPY524395 BGC524395 AWG524395 AMK524395 ACO524395 SS524395 IW524395 A524330 WVI458859 WLM458859 WBQ458859 VRU458859 VHY458859 UYC458859 UOG458859 UEK458859 TUO458859 TKS458859 TAW458859 SRA458859 SHE458859 RXI458859 RNM458859 RDQ458859 QTU458859 QJY458859 QAC458859 PQG458859 PGK458859 OWO458859 OMS458859 OCW458859 NTA458859 NJE458859 MZI458859 MPM458859 MFQ458859 LVU458859 LLY458859 LCC458859 KSG458859 KIK458859 JYO458859 JOS458859 JEW458859 IVA458859 ILE458859 IBI458859 HRM458859 HHQ458859 GXU458859 GNY458859 GEC458859 FUG458859 FKK458859 FAO458859 EQS458859 EGW458859 DXA458859 DNE458859 DDI458859 CTM458859 CJQ458859 BZU458859 BPY458859 BGC458859 AWG458859 AMK458859 ACO458859 SS458859 IW458859 A458794 WVI393323 WLM393323 WBQ393323 VRU393323 VHY393323 UYC393323 UOG393323 UEK393323 TUO393323 TKS393323 TAW393323 SRA393323 SHE393323 RXI393323 RNM393323 RDQ393323 QTU393323 QJY393323 QAC393323 PQG393323 PGK393323 OWO393323 OMS393323 OCW393323 NTA393323 NJE393323 MZI393323 MPM393323 MFQ393323 LVU393323 LLY393323 LCC393323 KSG393323 KIK393323 JYO393323 JOS393323 JEW393323 IVA393323 ILE393323 IBI393323 HRM393323 HHQ393323 GXU393323 GNY393323 GEC393323 FUG393323 FKK393323 FAO393323 EQS393323 EGW393323 DXA393323 DNE393323 DDI393323 CTM393323 CJQ393323 BZU393323 BPY393323 BGC393323 AWG393323 AMK393323 ACO393323 SS393323 IW393323 A393258 WVI327787 WLM327787 WBQ327787 VRU327787 VHY327787 UYC327787 UOG327787 UEK327787 TUO327787 TKS327787 TAW327787 SRA327787 SHE327787 RXI327787 RNM327787 RDQ327787 QTU327787 QJY327787 QAC327787 PQG327787 PGK327787 OWO327787 OMS327787 OCW327787 NTA327787 NJE327787 MZI327787 MPM327787 MFQ327787 LVU327787 LLY327787 LCC327787 KSG327787 KIK327787 JYO327787 JOS327787 JEW327787 IVA327787 ILE327787 IBI327787 HRM327787 HHQ327787 GXU327787 GNY327787 GEC327787 FUG327787 FKK327787 FAO327787 EQS327787 EGW327787 DXA327787 DNE327787 DDI327787 CTM327787 CJQ327787 BZU327787 BPY327787 BGC327787 AWG327787 AMK327787 ACO327787 SS327787 IW327787 A327722 WVI262251 WLM262251 WBQ262251 VRU262251 VHY262251 UYC262251 UOG262251 UEK262251 TUO262251 TKS262251 TAW262251 SRA262251 SHE262251 RXI262251 RNM262251 RDQ262251 QTU262251 QJY262251 QAC262251 PQG262251 PGK262251 OWO262251 OMS262251 OCW262251 NTA262251 NJE262251 MZI262251 MPM262251 MFQ262251 LVU262251 LLY262251 LCC262251 KSG262251 KIK262251 JYO262251 JOS262251 JEW262251 IVA262251 ILE262251 IBI262251 HRM262251 HHQ262251 GXU262251 GNY262251 GEC262251 FUG262251 FKK262251 FAO262251 EQS262251 EGW262251 DXA262251 DNE262251 DDI262251 CTM262251 CJQ262251 BZU262251 BPY262251 BGC262251 AWG262251 AMK262251 ACO262251 SS262251 IW262251 A262186 WVI196715 WLM196715 WBQ196715 VRU196715 VHY196715 UYC196715 UOG196715 UEK196715 TUO196715 TKS196715 TAW196715 SRA196715 SHE196715 RXI196715 RNM196715 RDQ196715 QTU196715 QJY196715 QAC196715 PQG196715 PGK196715 OWO196715 OMS196715 OCW196715 NTA196715 NJE196715 MZI196715 MPM196715 MFQ196715 LVU196715 LLY196715 LCC196715 KSG196715 KIK196715 JYO196715 JOS196715 JEW196715 IVA196715 ILE196715 IBI196715 HRM196715 HHQ196715 GXU196715 GNY196715 GEC196715 FUG196715 FKK196715 FAO196715 EQS196715 EGW196715 DXA196715 DNE196715 DDI196715 CTM196715 CJQ196715 BZU196715 BPY196715 BGC196715 AWG196715 AMK196715 ACO196715 SS196715 IW196715 A196650 WVI131179 WLM131179 WBQ131179 VRU131179 VHY131179 UYC131179 UOG131179 UEK131179 TUO131179 TKS131179 TAW131179 SRA131179 SHE131179 RXI131179 RNM131179 RDQ131179 QTU131179 QJY131179 QAC131179 PQG131179 PGK131179 OWO131179 OMS131179 OCW131179 NTA131179 NJE131179 MZI131179 MPM131179 MFQ131179 LVU131179 LLY131179 LCC131179 KSG131179 KIK131179 JYO131179 JOS131179 JEW131179 IVA131179 ILE131179 IBI131179 HRM131179 HHQ131179 GXU131179 GNY131179 GEC131179 FUG131179 FKK131179 FAO131179 EQS131179 EGW131179 DXA131179 DNE131179 DDI131179 CTM131179 CJQ131179 BZU131179 BPY131179 BGC131179 AWG131179 AMK131179 ACO131179 SS131179 IW131179 A131114 WVI65643 WLM65643 WBQ65643 VRU65643 VHY65643 UYC65643 UOG65643 UEK65643 TUO65643 TKS65643 TAW65643 SRA65643 SHE65643 RXI65643 RNM65643 RDQ65643 QTU65643 QJY65643 QAC65643 PQG65643 PGK65643 OWO65643 OMS65643 OCW65643 NTA65643 NJE65643 MZI65643 MPM65643 MFQ65643 LVU65643 LLY65643 LCC65643 KSG65643 KIK65643 JYO65643 JOS65643 JEW65643 IVA65643 ILE65643 IBI65643 HRM65643 HHQ65643 GXU65643 GNY65643 GEC65643 FUG65643 FKK65643 FAO65643 EQS65643 EGW65643 DXA65643 DNE65643 DDI65643 CTM65643 CJQ65643 BZU65643 BPY65643 BGC65643 AWG65643 AMK65643 ACO65643 SS65643 IW65643 A65578 WVI108 WLM108 WBQ108 VRU108 VHY108 UYC108 UOG108 UEK108 TUO108 TKS108 TAW108 SRA108 SHE108 RXI108 RNM108 RDQ108 QTU108 QJY108 QAC108 PQG108 PGK108 OWO108 OMS108 OCW108 NTA108 NJE108 MZI108 MPM108 MFQ108 LVU108 LLY108 LCC108 KSG108 KIK108 JYO108 JOS108 JEW108 IVA108 ILE108 IBI108 HRM108 HHQ108 GXU108 GNY108 GEC108 FUG108 FKK108 FAO108 EQS108 EGW108 DXA108 DNE108 DDI108 CTM108 CJQ108 BZU108 BPY108 BGC108 AWG108 AMK108 ACO108 SS108 IW108" xr:uid="{24599FBB-9F36-4021-BB1B-398297E109E4}">
      <formula1>$A$94:$A$97</formula1>
    </dataValidation>
    <dataValidation type="list" allowBlank="1" showInputMessage="1" showErrorMessage="1" sqref="A125 WVI983164 WLM983164 WBQ983164 VRU983164 VHY983164 UYC983164 UOG983164 UEK983164 TUO983164 TKS983164 TAW983164 SRA983164 SHE983164 RXI983164 RNM983164 RDQ983164 QTU983164 QJY983164 QAC983164 PQG983164 PGK983164 OWO983164 OMS983164 OCW983164 NTA983164 NJE983164 MZI983164 MPM983164 MFQ983164 LVU983164 LLY983164 LCC983164 KSG983164 KIK983164 JYO983164 JOS983164 JEW983164 IVA983164 ILE983164 IBI983164 HRM983164 HHQ983164 GXU983164 GNY983164 GEC983164 FUG983164 FKK983164 FAO983164 EQS983164 EGW983164 DXA983164 DNE983164 DDI983164 CTM983164 CJQ983164 BZU983164 BPY983164 BGC983164 AWG983164 AMK983164 ACO983164 SS983164 IW983164 A983099 WVI917628 WLM917628 WBQ917628 VRU917628 VHY917628 UYC917628 UOG917628 UEK917628 TUO917628 TKS917628 TAW917628 SRA917628 SHE917628 RXI917628 RNM917628 RDQ917628 QTU917628 QJY917628 QAC917628 PQG917628 PGK917628 OWO917628 OMS917628 OCW917628 NTA917628 NJE917628 MZI917628 MPM917628 MFQ917628 LVU917628 LLY917628 LCC917628 KSG917628 KIK917628 JYO917628 JOS917628 JEW917628 IVA917628 ILE917628 IBI917628 HRM917628 HHQ917628 GXU917628 GNY917628 GEC917628 FUG917628 FKK917628 FAO917628 EQS917628 EGW917628 DXA917628 DNE917628 DDI917628 CTM917628 CJQ917628 BZU917628 BPY917628 BGC917628 AWG917628 AMK917628 ACO917628 SS917628 IW917628 A917563 WVI852092 WLM852092 WBQ852092 VRU852092 VHY852092 UYC852092 UOG852092 UEK852092 TUO852092 TKS852092 TAW852092 SRA852092 SHE852092 RXI852092 RNM852092 RDQ852092 QTU852092 QJY852092 QAC852092 PQG852092 PGK852092 OWO852092 OMS852092 OCW852092 NTA852092 NJE852092 MZI852092 MPM852092 MFQ852092 LVU852092 LLY852092 LCC852092 KSG852092 KIK852092 JYO852092 JOS852092 JEW852092 IVA852092 ILE852092 IBI852092 HRM852092 HHQ852092 GXU852092 GNY852092 GEC852092 FUG852092 FKK852092 FAO852092 EQS852092 EGW852092 DXA852092 DNE852092 DDI852092 CTM852092 CJQ852092 BZU852092 BPY852092 BGC852092 AWG852092 AMK852092 ACO852092 SS852092 IW852092 A852027 WVI786556 WLM786556 WBQ786556 VRU786556 VHY786556 UYC786556 UOG786556 UEK786556 TUO786556 TKS786556 TAW786556 SRA786556 SHE786556 RXI786556 RNM786556 RDQ786556 QTU786556 QJY786556 QAC786556 PQG786556 PGK786556 OWO786556 OMS786556 OCW786556 NTA786556 NJE786556 MZI786556 MPM786556 MFQ786556 LVU786556 LLY786556 LCC786556 KSG786556 KIK786556 JYO786556 JOS786556 JEW786556 IVA786556 ILE786556 IBI786556 HRM786556 HHQ786556 GXU786556 GNY786556 GEC786556 FUG786556 FKK786556 FAO786556 EQS786556 EGW786556 DXA786556 DNE786556 DDI786556 CTM786556 CJQ786556 BZU786556 BPY786556 BGC786556 AWG786556 AMK786556 ACO786556 SS786556 IW786556 A786491 WVI721020 WLM721020 WBQ721020 VRU721020 VHY721020 UYC721020 UOG721020 UEK721020 TUO721020 TKS721020 TAW721020 SRA721020 SHE721020 RXI721020 RNM721020 RDQ721020 QTU721020 QJY721020 QAC721020 PQG721020 PGK721020 OWO721020 OMS721020 OCW721020 NTA721020 NJE721020 MZI721020 MPM721020 MFQ721020 LVU721020 LLY721020 LCC721020 KSG721020 KIK721020 JYO721020 JOS721020 JEW721020 IVA721020 ILE721020 IBI721020 HRM721020 HHQ721020 GXU721020 GNY721020 GEC721020 FUG721020 FKK721020 FAO721020 EQS721020 EGW721020 DXA721020 DNE721020 DDI721020 CTM721020 CJQ721020 BZU721020 BPY721020 BGC721020 AWG721020 AMK721020 ACO721020 SS721020 IW721020 A720955 WVI655484 WLM655484 WBQ655484 VRU655484 VHY655484 UYC655484 UOG655484 UEK655484 TUO655484 TKS655484 TAW655484 SRA655484 SHE655484 RXI655484 RNM655484 RDQ655484 QTU655484 QJY655484 QAC655484 PQG655484 PGK655484 OWO655484 OMS655484 OCW655484 NTA655484 NJE655484 MZI655484 MPM655484 MFQ655484 LVU655484 LLY655484 LCC655484 KSG655484 KIK655484 JYO655484 JOS655484 JEW655484 IVA655484 ILE655484 IBI655484 HRM655484 HHQ655484 GXU655484 GNY655484 GEC655484 FUG655484 FKK655484 FAO655484 EQS655484 EGW655484 DXA655484 DNE655484 DDI655484 CTM655484 CJQ655484 BZU655484 BPY655484 BGC655484 AWG655484 AMK655484 ACO655484 SS655484 IW655484 A655419 WVI589948 WLM589948 WBQ589948 VRU589948 VHY589948 UYC589948 UOG589948 UEK589948 TUO589948 TKS589948 TAW589948 SRA589948 SHE589948 RXI589948 RNM589948 RDQ589948 QTU589948 QJY589948 QAC589948 PQG589948 PGK589948 OWO589948 OMS589948 OCW589948 NTA589948 NJE589948 MZI589948 MPM589948 MFQ589948 LVU589948 LLY589948 LCC589948 KSG589948 KIK589948 JYO589948 JOS589948 JEW589948 IVA589948 ILE589948 IBI589948 HRM589948 HHQ589948 GXU589948 GNY589948 GEC589948 FUG589948 FKK589948 FAO589948 EQS589948 EGW589948 DXA589948 DNE589948 DDI589948 CTM589948 CJQ589948 BZU589948 BPY589948 BGC589948 AWG589948 AMK589948 ACO589948 SS589948 IW589948 A589883 WVI524412 WLM524412 WBQ524412 VRU524412 VHY524412 UYC524412 UOG524412 UEK524412 TUO524412 TKS524412 TAW524412 SRA524412 SHE524412 RXI524412 RNM524412 RDQ524412 QTU524412 QJY524412 QAC524412 PQG524412 PGK524412 OWO524412 OMS524412 OCW524412 NTA524412 NJE524412 MZI524412 MPM524412 MFQ524412 LVU524412 LLY524412 LCC524412 KSG524412 KIK524412 JYO524412 JOS524412 JEW524412 IVA524412 ILE524412 IBI524412 HRM524412 HHQ524412 GXU524412 GNY524412 GEC524412 FUG524412 FKK524412 FAO524412 EQS524412 EGW524412 DXA524412 DNE524412 DDI524412 CTM524412 CJQ524412 BZU524412 BPY524412 BGC524412 AWG524412 AMK524412 ACO524412 SS524412 IW524412 A524347 WVI458876 WLM458876 WBQ458876 VRU458876 VHY458876 UYC458876 UOG458876 UEK458876 TUO458876 TKS458876 TAW458876 SRA458876 SHE458876 RXI458876 RNM458876 RDQ458876 QTU458876 QJY458876 QAC458876 PQG458876 PGK458876 OWO458876 OMS458876 OCW458876 NTA458876 NJE458876 MZI458876 MPM458876 MFQ458876 LVU458876 LLY458876 LCC458876 KSG458876 KIK458876 JYO458876 JOS458876 JEW458876 IVA458876 ILE458876 IBI458876 HRM458876 HHQ458876 GXU458876 GNY458876 GEC458876 FUG458876 FKK458876 FAO458876 EQS458876 EGW458876 DXA458876 DNE458876 DDI458876 CTM458876 CJQ458876 BZU458876 BPY458876 BGC458876 AWG458876 AMK458876 ACO458876 SS458876 IW458876 A458811 WVI393340 WLM393340 WBQ393340 VRU393340 VHY393340 UYC393340 UOG393340 UEK393340 TUO393340 TKS393340 TAW393340 SRA393340 SHE393340 RXI393340 RNM393340 RDQ393340 QTU393340 QJY393340 QAC393340 PQG393340 PGK393340 OWO393340 OMS393340 OCW393340 NTA393340 NJE393340 MZI393340 MPM393340 MFQ393340 LVU393340 LLY393340 LCC393340 KSG393340 KIK393340 JYO393340 JOS393340 JEW393340 IVA393340 ILE393340 IBI393340 HRM393340 HHQ393340 GXU393340 GNY393340 GEC393340 FUG393340 FKK393340 FAO393340 EQS393340 EGW393340 DXA393340 DNE393340 DDI393340 CTM393340 CJQ393340 BZU393340 BPY393340 BGC393340 AWG393340 AMK393340 ACO393340 SS393340 IW393340 A393275 WVI327804 WLM327804 WBQ327804 VRU327804 VHY327804 UYC327804 UOG327804 UEK327804 TUO327804 TKS327804 TAW327804 SRA327804 SHE327804 RXI327804 RNM327804 RDQ327804 QTU327804 QJY327804 QAC327804 PQG327804 PGK327804 OWO327804 OMS327804 OCW327804 NTA327804 NJE327804 MZI327804 MPM327804 MFQ327804 LVU327804 LLY327804 LCC327804 KSG327804 KIK327804 JYO327804 JOS327804 JEW327804 IVA327804 ILE327804 IBI327804 HRM327804 HHQ327804 GXU327804 GNY327804 GEC327804 FUG327804 FKK327804 FAO327804 EQS327804 EGW327804 DXA327804 DNE327804 DDI327804 CTM327804 CJQ327804 BZU327804 BPY327804 BGC327804 AWG327804 AMK327804 ACO327804 SS327804 IW327804 A327739 WVI262268 WLM262268 WBQ262268 VRU262268 VHY262268 UYC262268 UOG262268 UEK262268 TUO262268 TKS262268 TAW262268 SRA262268 SHE262268 RXI262268 RNM262268 RDQ262268 QTU262268 QJY262268 QAC262268 PQG262268 PGK262268 OWO262268 OMS262268 OCW262268 NTA262268 NJE262268 MZI262268 MPM262268 MFQ262268 LVU262268 LLY262268 LCC262268 KSG262268 KIK262268 JYO262268 JOS262268 JEW262268 IVA262268 ILE262268 IBI262268 HRM262268 HHQ262268 GXU262268 GNY262268 GEC262268 FUG262268 FKK262268 FAO262268 EQS262268 EGW262268 DXA262268 DNE262268 DDI262268 CTM262268 CJQ262268 BZU262268 BPY262268 BGC262268 AWG262268 AMK262268 ACO262268 SS262268 IW262268 A262203 WVI196732 WLM196732 WBQ196732 VRU196732 VHY196732 UYC196732 UOG196732 UEK196732 TUO196732 TKS196732 TAW196732 SRA196732 SHE196732 RXI196732 RNM196732 RDQ196732 QTU196732 QJY196732 QAC196732 PQG196732 PGK196732 OWO196732 OMS196732 OCW196732 NTA196732 NJE196732 MZI196732 MPM196732 MFQ196732 LVU196732 LLY196732 LCC196732 KSG196732 KIK196732 JYO196732 JOS196732 JEW196732 IVA196732 ILE196732 IBI196732 HRM196732 HHQ196732 GXU196732 GNY196732 GEC196732 FUG196732 FKK196732 FAO196732 EQS196732 EGW196732 DXA196732 DNE196732 DDI196732 CTM196732 CJQ196732 BZU196732 BPY196732 BGC196732 AWG196732 AMK196732 ACO196732 SS196732 IW196732 A196667 WVI131196 WLM131196 WBQ131196 VRU131196 VHY131196 UYC131196 UOG131196 UEK131196 TUO131196 TKS131196 TAW131196 SRA131196 SHE131196 RXI131196 RNM131196 RDQ131196 QTU131196 QJY131196 QAC131196 PQG131196 PGK131196 OWO131196 OMS131196 OCW131196 NTA131196 NJE131196 MZI131196 MPM131196 MFQ131196 LVU131196 LLY131196 LCC131196 KSG131196 KIK131196 JYO131196 JOS131196 JEW131196 IVA131196 ILE131196 IBI131196 HRM131196 HHQ131196 GXU131196 GNY131196 GEC131196 FUG131196 FKK131196 FAO131196 EQS131196 EGW131196 DXA131196 DNE131196 DDI131196 CTM131196 CJQ131196 BZU131196 BPY131196 BGC131196 AWG131196 AMK131196 ACO131196 SS131196 IW131196 A131131 WVI65660 WLM65660 WBQ65660 VRU65660 VHY65660 UYC65660 UOG65660 UEK65660 TUO65660 TKS65660 TAW65660 SRA65660 SHE65660 RXI65660 RNM65660 RDQ65660 QTU65660 QJY65660 QAC65660 PQG65660 PGK65660 OWO65660 OMS65660 OCW65660 NTA65660 NJE65660 MZI65660 MPM65660 MFQ65660 LVU65660 LLY65660 LCC65660 KSG65660 KIK65660 JYO65660 JOS65660 JEW65660 IVA65660 ILE65660 IBI65660 HRM65660 HHQ65660 GXU65660 GNY65660 GEC65660 FUG65660 FKK65660 FAO65660 EQS65660 EGW65660 DXA65660 DNE65660 DDI65660 CTM65660 CJQ65660 BZU65660 BPY65660 BGC65660 AWG65660 AMK65660 ACO65660 SS65660 IW65660 A65595 WVI125 WLM125 WBQ125 VRU125 VHY125 UYC125 UOG125 UEK125 TUO125 TKS125 TAW125 SRA125 SHE125 RXI125 RNM125 RDQ125 QTU125 QJY125 QAC125 PQG125 PGK125 OWO125 OMS125 OCW125 NTA125 NJE125 MZI125 MPM125 MFQ125 LVU125 LLY125 LCC125 KSG125 KIK125 JYO125 JOS125 JEW125 IVA125 ILE125 IBI125 HRM125 HHQ125 GXU125 GNY125 GEC125 FUG125 FKK125 FAO125 EQS125 EGW125 DXA125 DNE125 DDI125 CTM125 CJQ125 BZU125 BPY125 BGC125 AWG125 AMK125 ACO125 SS125 IW125" xr:uid="{9B9A17BD-22F8-4A9F-B7AF-EE0435E2D787}">
      <formula1>$A$126:$A$128</formula1>
    </dataValidation>
    <dataValidation type="list" allowBlank="1" showInputMessage="1" showErrorMessage="1" sqref="IX26 WVJ983066 WLN983066 WBR983066 VRV983066 VHZ983066 UYD983066 UOH983066 UEL983066 TUP983066 TKT983066 TAX983066 SRB983066 SHF983066 RXJ983066 RNN983066 RDR983066 QTV983066 QJZ983066 QAD983066 PQH983066 PGL983066 OWP983066 OMT983066 OCX983066 NTB983066 NJF983066 MZJ983066 MPN983066 MFR983066 LVV983066 LLZ983066 LCD983066 KSH983066 KIL983066 JYP983066 JOT983066 JEX983066 IVB983066 ILF983066 IBJ983066 HRN983066 HHR983066 GXV983066 GNZ983066 GED983066 FUH983066 FKL983066 FAP983066 EQT983066 EGX983066 DXB983066 DNF983066 DDJ983066 CTN983066 CJR983066 BZV983066 BPZ983066 BGD983066 AWH983066 AML983066 ACP983066 ST983066 IX983066 B983001 WVJ917530 WLN917530 WBR917530 VRV917530 VHZ917530 UYD917530 UOH917530 UEL917530 TUP917530 TKT917530 TAX917530 SRB917530 SHF917530 RXJ917530 RNN917530 RDR917530 QTV917530 QJZ917530 QAD917530 PQH917530 PGL917530 OWP917530 OMT917530 OCX917530 NTB917530 NJF917530 MZJ917530 MPN917530 MFR917530 LVV917530 LLZ917530 LCD917530 KSH917530 KIL917530 JYP917530 JOT917530 JEX917530 IVB917530 ILF917530 IBJ917530 HRN917530 HHR917530 GXV917530 GNZ917530 GED917530 FUH917530 FKL917530 FAP917530 EQT917530 EGX917530 DXB917530 DNF917530 DDJ917530 CTN917530 CJR917530 BZV917530 BPZ917530 BGD917530 AWH917530 AML917530 ACP917530 ST917530 IX917530 B917465 WVJ851994 WLN851994 WBR851994 VRV851994 VHZ851994 UYD851994 UOH851994 UEL851994 TUP851994 TKT851994 TAX851994 SRB851994 SHF851994 RXJ851994 RNN851994 RDR851994 QTV851994 QJZ851994 QAD851994 PQH851994 PGL851994 OWP851994 OMT851994 OCX851994 NTB851994 NJF851994 MZJ851994 MPN851994 MFR851994 LVV851994 LLZ851994 LCD851994 KSH851994 KIL851994 JYP851994 JOT851994 JEX851994 IVB851994 ILF851994 IBJ851994 HRN851994 HHR851994 GXV851994 GNZ851994 GED851994 FUH851994 FKL851994 FAP851994 EQT851994 EGX851994 DXB851994 DNF851994 DDJ851994 CTN851994 CJR851994 BZV851994 BPZ851994 BGD851994 AWH851994 AML851994 ACP851994 ST851994 IX851994 B851929 WVJ786458 WLN786458 WBR786458 VRV786458 VHZ786458 UYD786458 UOH786458 UEL786458 TUP786458 TKT786458 TAX786458 SRB786458 SHF786458 RXJ786458 RNN786458 RDR786458 QTV786458 QJZ786458 QAD786458 PQH786458 PGL786458 OWP786458 OMT786458 OCX786458 NTB786458 NJF786458 MZJ786458 MPN786458 MFR786458 LVV786458 LLZ786458 LCD786458 KSH786458 KIL786458 JYP786458 JOT786458 JEX786458 IVB786458 ILF786458 IBJ786458 HRN786458 HHR786458 GXV786458 GNZ786458 GED786458 FUH786458 FKL786458 FAP786458 EQT786458 EGX786458 DXB786458 DNF786458 DDJ786458 CTN786458 CJR786458 BZV786458 BPZ786458 BGD786458 AWH786458 AML786458 ACP786458 ST786458 IX786458 B786393 WVJ720922 WLN720922 WBR720922 VRV720922 VHZ720922 UYD720922 UOH720922 UEL720922 TUP720922 TKT720922 TAX720922 SRB720922 SHF720922 RXJ720922 RNN720922 RDR720922 QTV720922 QJZ720922 QAD720922 PQH720922 PGL720922 OWP720922 OMT720922 OCX720922 NTB720922 NJF720922 MZJ720922 MPN720922 MFR720922 LVV720922 LLZ720922 LCD720922 KSH720922 KIL720922 JYP720922 JOT720922 JEX720922 IVB720922 ILF720922 IBJ720922 HRN720922 HHR720922 GXV720922 GNZ720922 GED720922 FUH720922 FKL720922 FAP720922 EQT720922 EGX720922 DXB720922 DNF720922 DDJ720922 CTN720922 CJR720922 BZV720922 BPZ720922 BGD720922 AWH720922 AML720922 ACP720922 ST720922 IX720922 B720857 WVJ655386 WLN655386 WBR655386 VRV655386 VHZ655386 UYD655386 UOH655386 UEL655386 TUP655386 TKT655386 TAX655386 SRB655386 SHF655386 RXJ655386 RNN655386 RDR655386 QTV655386 QJZ655386 QAD655386 PQH655386 PGL655386 OWP655386 OMT655386 OCX655386 NTB655386 NJF655386 MZJ655386 MPN655386 MFR655386 LVV655386 LLZ655386 LCD655386 KSH655386 KIL655386 JYP655386 JOT655386 JEX655386 IVB655386 ILF655386 IBJ655386 HRN655386 HHR655386 GXV655386 GNZ655386 GED655386 FUH655386 FKL655386 FAP655386 EQT655386 EGX655386 DXB655386 DNF655386 DDJ655386 CTN655386 CJR655386 BZV655386 BPZ655386 BGD655386 AWH655386 AML655386 ACP655386 ST655386 IX655386 B655321 WVJ589850 WLN589850 WBR589850 VRV589850 VHZ589850 UYD589850 UOH589850 UEL589850 TUP589850 TKT589850 TAX589850 SRB589850 SHF589850 RXJ589850 RNN589850 RDR589850 QTV589850 QJZ589850 QAD589850 PQH589850 PGL589850 OWP589850 OMT589850 OCX589850 NTB589850 NJF589850 MZJ589850 MPN589850 MFR589850 LVV589850 LLZ589850 LCD589850 KSH589850 KIL589850 JYP589850 JOT589850 JEX589850 IVB589850 ILF589850 IBJ589850 HRN589850 HHR589850 GXV589850 GNZ589850 GED589850 FUH589850 FKL589850 FAP589850 EQT589850 EGX589850 DXB589850 DNF589850 DDJ589850 CTN589850 CJR589850 BZV589850 BPZ589850 BGD589850 AWH589850 AML589850 ACP589850 ST589850 IX589850 B589785 WVJ524314 WLN524314 WBR524314 VRV524314 VHZ524314 UYD524314 UOH524314 UEL524314 TUP524314 TKT524314 TAX524314 SRB524314 SHF524314 RXJ524314 RNN524314 RDR524314 QTV524314 QJZ524314 QAD524314 PQH524314 PGL524314 OWP524314 OMT524314 OCX524314 NTB524314 NJF524314 MZJ524314 MPN524314 MFR524314 LVV524314 LLZ524314 LCD524314 KSH524314 KIL524314 JYP524314 JOT524314 JEX524314 IVB524314 ILF524314 IBJ524314 HRN524314 HHR524314 GXV524314 GNZ524314 GED524314 FUH524314 FKL524314 FAP524314 EQT524314 EGX524314 DXB524314 DNF524314 DDJ524314 CTN524314 CJR524314 BZV524314 BPZ524314 BGD524314 AWH524314 AML524314 ACP524314 ST524314 IX524314 B524249 WVJ458778 WLN458778 WBR458778 VRV458778 VHZ458778 UYD458778 UOH458778 UEL458778 TUP458778 TKT458778 TAX458778 SRB458778 SHF458778 RXJ458778 RNN458778 RDR458778 QTV458778 QJZ458778 QAD458778 PQH458778 PGL458778 OWP458778 OMT458778 OCX458778 NTB458778 NJF458778 MZJ458778 MPN458778 MFR458778 LVV458778 LLZ458778 LCD458778 KSH458778 KIL458778 JYP458778 JOT458778 JEX458778 IVB458778 ILF458778 IBJ458778 HRN458778 HHR458778 GXV458778 GNZ458778 GED458778 FUH458778 FKL458778 FAP458778 EQT458778 EGX458778 DXB458778 DNF458778 DDJ458778 CTN458778 CJR458778 BZV458778 BPZ458778 BGD458778 AWH458778 AML458778 ACP458778 ST458778 IX458778 B458713 WVJ393242 WLN393242 WBR393242 VRV393242 VHZ393242 UYD393242 UOH393242 UEL393242 TUP393242 TKT393242 TAX393242 SRB393242 SHF393242 RXJ393242 RNN393242 RDR393242 QTV393242 QJZ393242 QAD393242 PQH393242 PGL393242 OWP393242 OMT393242 OCX393242 NTB393242 NJF393242 MZJ393242 MPN393242 MFR393242 LVV393242 LLZ393242 LCD393242 KSH393242 KIL393242 JYP393242 JOT393242 JEX393242 IVB393242 ILF393242 IBJ393242 HRN393242 HHR393242 GXV393242 GNZ393242 GED393242 FUH393242 FKL393242 FAP393242 EQT393242 EGX393242 DXB393242 DNF393242 DDJ393242 CTN393242 CJR393242 BZV393242 BPZ393242 BGD393242 AWH393242 AML393242 ACP393242 ST393242 IX393242 B393177 WVJ327706 WLN327706 WBR327706 VRV327706 VHZ327706 UYD327706 UOH327706 UEL327706 TUP327706 TKT327706 TAX327706 SRB327706 SHF327706 RXJ327706 RNN327706 RDR327706 QTV327706 QJZ327706 QAD327706 PQH327706 PGL327706 OWP327706 OMT327706 OCX327706 NTB327706 NJF327706 MZJ327706 MPN327706 MFR327706 LVV327706 LLZ327706 LCD327706 KSH327706 KIL327706 JYP327706 JOT327706 JEX327706 IVB327706 ILF327706 IBJ327706 HRN327706 HHR327706 GXV327706 GNZ327706 GED327706 FUH327706 FKL327706 FAP327706 EQT327706 EGX327706 DXB327706 DNF327706 DDJ327706 CTN327706 CJR327706 BZV327706 BPZ327706 BGD327706 AWH327706 AML327706 ACP327706 ST327706 IX327706 B327641 WVJ262170 WLN262170 WBR262170 VRV262170 VHZ262170 UYD262170 UOH262170 UEL262170 TUP262170 TKT262170 TAX262170 SRB262170 SHF262170 RXJ262170 RNN262170 RDR262170 QTV262170 QJZ262170 QAD262170 PQH262170 PGL262170 OWP262170 OMT262170 OCX262170 NTB262170 NJF262170 MZJ262170 MPN262170 MFR262170 LVV262170 LLZ262170 LCD262170 KSH262170 KIL262170 JYP262170 JOT262170 JEX262170 IVB262170 ILF262170 IBJ262170 HRN262170 HHR262170 GXV262170 GNZ262170 GED262170 FUH262170 FKL262170 FAP262170 EQT262170 EGX262170 DXB262170 DNF262170 DDJ262170 CTN262170 CJR262170 BZV262170 BPZ262170 BGD262170 AWH262170 AML262170 ACP262170 ST262170 IX262170 B262105 WVJ196634 WLN196634 WBR196634 VRV196634 VHZ196634 UYD196634 UOH196634 UEL196634 TUP196634 TKT196634 TAX196634 SRB196634 SHF196634 RXJ196634 RNN196634 RDR196634 QTV196634 QJZ196634 QAD196634 PQH196634 PGL196634 OWP196634 OMT196634 OCX196634 NTB196634 NJF196634 MZJ196634 MPN196634 MFR196634 LVV196634 LLZ196634 LCD196634 KSH196634 KIL196634 JYP196634 JOT196634 JEX196634 IVB196634 ILF196634 IBJ196634 HRN196634 HHR196634 GXV196634 GNZ196634 GED196634 FUH196634 FKL196634 FAP196634 EQT196634 EGX196634 DXB196634 DNF196634 DDJ196634 CTN196634 CJR196634 BZV196634 BPZ196634 BGD196634 AWH196634 AML196634 ACP196634 ST196634 IX196634 B196569 WVJ131098 WLN131098 WBR131098 VRV131098 VHZ131098 UYD131098 UOH131098 UEL131098 TUP131098 TKT131098 TAX131098 SRB131098 SHF131098 RXJ131098 RNN131098 RDR131098 QTV131098 QJZ131098 QAD131098 PQH131098 PGL131098 OWP131098 OMT131098 OCX131098 NTB131098 NJF131098 MZJ131098 MPN131098 MFR131098 LVV131098 LLZ131098 LCD131098 KSH131098 KIL131098 JYP131098 JOT131098 JEX131098 IVB131098 ILF131098 IBJ131098 HRN131098 HHR131098 GXV131098 GNZ131098 GED131098 FUH131098 FKL131098 FAP131098 EQT131098 EGX131098 DXB131098 DNF131098 DDJ131098 CTN131098 CJR131098 BZV131098 BPZ131098 BGD131098 AWH131098 AML131098 ACP131098 ST131098 IX131098 B131033 WVJ65562 WLN65562 WBR65562 VRV65562 VHZ65562 UYD65562 UOH65562 UEL65562 TUP65562 TKT65562 TAX65562 SRB65562 SHF65562 RXJ65562 RNN65562 RDR65562 QTV65562 QJZ65562 QAD65562 PQH65562 PGL65562 OWP65562 OMT65562 OCX65562 NTB65562 NJF65562 MZJ65562 MPN65562 MFR65562 LVV65562 LLZ65562 LCD65562 KSH65562 KIL65562 JYP65562 JOT65562 JEX65562 IVB65562 ILF65562 IBJ65562 HRN65562 HHR65562 GXV65562 GNZ65562 GED65562 FUH65562 FKL65562 FAP65562 EQT65562 EGX65562 DXB65562 DNF65562 DDJ65562 CTN65562 CJR65562 BZV65562 BPZ65562 BGD65562 AWH65562 AML65562 ACP65562 ST65562 IX65562 B65497 WVJ26 WLN26 WBR26 VRV26 VHZ26 UYD26 UOH26 UEL26 TUP26 TKT26 TAX26 SRB26 SHF26 RXJ26 RNN26 RDR26 QTV26 QJZ26 QAD26 PQH26 PGL26 OWP26 OMT26 OCX26 NTB26 NJF26 MZJ26 MPN26 MFR26 LVV26 LLZ26 LCD26 KSH26 KIL26 JYP26 JOT26 JEX26 IVB26 ILF26 IBJ26 HRN26 HHR26 GXV26 GNZ26 GED26 FUH26 FKL26 FAP26 EQT26 EGX26 DXB26 DNF26 DDJ26 CTN26 CJR26 BZV26 BPZ26 BGD26 AWH26 AML26 ACP26 ST26" xr:uid="{3E54BCD5-E1CF-4ED8-89AA-951F7ADE856D}">
      <formula1>$T$2:$T$70</formula1>
    </dataValidation>
    <dataValidation type="list" allowBlank="1" showInputMessage="1" showErrorMessage="1" sqref="B26" xr:uid="{6D67BC36-A620-445E-8995-C0BFDB02996C}">
      <formula1>$T$2:$T$137</formula1>
    </dataValidation>
    <dataValidation type="list" allowBlank="1" showInputMessage="1" showErrorMessage="1" sqref="B7" xr:uid="{71F362E5-7898-4D1E-9C8F-90C522BB0091}">
      <formula1>$K$2:$K$195</formula1>
    </dataValidation>
  </dataValidations>
  <printOptions horizontalCentered="1"/>
  <pageMargins left="0.39370078740157483" right="0.39370078740157483" top="0.78740157480314965" bottom="0.78740157480314965" header="0.39370078740157483" footer="0.39370078740157483"/>
  <pageSetup paperSize="9" scale="55" fitToHeight="5" orientation="portrait" horizontalDpi="1200" verticalDpi="1200" r:id="rId1"/>
  <headerFooter alignWithMargins="0">
    <oddHeader>&amp;C&amp;"標楷體,標準"&amp;16智崴資訊側立式電動平台-電動缸計算</oddHeader>
  </headerFooter>
  <drawing r:id="rId2"/>
  <legacyDrawing r:id="rId3"/>
  <oleObjects>
    <mc:AlternateContent xmlns:mc="http://schemas.openxmlformats.org/markup-compatibility/2006">
      <mc:Choice Requires="x14">
        <oleObject progId="Equation.3" shapeId="6145" r:id="rId4">
          <objectPr defaultSize="0" autoPict="0" r:id="rId5">
            <anchor moveWithCells="1" sizeWithCells="1">
              <from>
                <xdr:col>0</xdr:col>
                <xdr:colOff>259080</xdr:colOff>
                <xdr:row>143</xdr:row>
                <xdr:rowOff>0</xdr:rowOff>
              </from>
              <to>
                <xdr:col>0</xdr:col>
                <xdr:colOff>693420</xdr:colOff>
                <xdr:row>143</xdr:row>
                <xdr:rowOff>0</xdr:rowOff>
              </to>
            </anchor>
          </objectPr>
        </oleObject>
      </mc:Choice>
      <mc:Fallback>
        <oleObject progId="Equation.3" shapeId="6145" r:id="rId4"/>
      </mc:Fallback>
    </mc:AlternateContent>
    <mc:AlternateContent xmlns:mc="http://schemas.openxmlformats.org/markup-compatibility/2006">
      <mc:Choice Requires="x14">
        <oleObject progId="Equation.3" shapeId="6146" r:id="rId6">
          <objectPr defaultSize="0" autoPict="0" r:id="rId7">
            <anchor moveWithCells="1" sizeWithCells="1">
              <from>
                <xdr:col>0</xdr:col>
                <xdr:colOff>60960</xdr:colOff>
                <xdr:row>130</xdr:row>
                <xdr:rowOff>114300</xdr:rowOff>
              </from>
              <to>
                <xdr:col>1</xdr:col>
                <xdr:colOff>510540</xdr:colOff>
                <xdr:row>131</xdr:row>
                <xdr:rowOff>106680</xdr:rowOff>
              </to>
            </anchor>
          </objectPr>
        </oleObject>
      </mc:Choice>
      <mc:Fallback>
        <oleObject progId="Equation.3" shapeId="6146" r:id="rId6"/>
      </mc:Fallback>
    </mc:AlternateContent>
    <mc:AlternateContent xmlns:mc="http://schemas.openxmlformats.org/markup-compatibility/2006">
      <mc:Choice Requires="x14">
        <oleObject progId="Equation.3" shapeId="6147" r:id="rId8">
          <objectPr defaultSize="0" autoPict="0" r:id="rId9">
            <anchor moveWithCells="1" sizeWithCells="1">
              <from>
                <xdr:col>0</xdr:col>
                <xdr:colOff>60960</xdr:colOff>
                <xdr:row>134</xdr:row>
                <xdr:rowOff>15240</xdr:rowOff>
              </from>
              <to>
                <xdr:col>1</xdr:col>
                <xdr:colOff>266700</xdr:colOff>
                <xdr:row>136</xdr:row>
                <xdr:rowOff>68580</xdr:rowOff>
              </to>
            </anchor>
          </objectPr>
        </oleObject>
      </mc:Choice>
      <mc:Fallback>
        <oleObject progId="Equation.3" shapeId="6147" r:id="rId8"/>
      </mc:Fallback>
    </mc:AlternateContent>
    <mc:AlternateContent xmlns:mc="http://schemas.openxmlformats.org/markup-compatibility/2006">
      <mc:Choice Requires="x14">
        <oleObject progId="Equation.3" shapeId="6148" r:id="rId10">
          <objectPr defaultSize="0" autoPict="0" r:id="rId11">
            <anchor moveWithCells="1" sizeWithCells="1">
              <from>
                <xdr:col>0</xdr:col>
                <xdr:colOff>22860</xdr:colOff>
                <xdr:row>146</xdr:row>
                <xdr:rowOff>15240</xdr:rowOff>
              </from>
              <to>
                <xdr:col>0</xdr:col>
                <xdr:colOff>594360</xdr:colOff>
                <xdr:row>148</xdr:row>
                <xdr:rowOff>7620</xdr:rowOff>
              </to>
            </anchor>
          </objectPr>
        </oleObject>
      </mc:Choice>
      <mc:Fallback>
        <oleObject progId="Equation.3" shapeId="6148" r:id="rId10"/>
      </mc:Fallback>
    </mc:AlternateContent>
    <mc:AlternateContent xmlns:mc="http://schemas.openxmlformats.org/markup-compatibility/2006">
      <mc:Choice Requires="x14">
        <oleObject progId="Equation.3" shapeId="6149" r:id="rId12">
          <objectPr defaultSize="0" autoPict="0" r:id="rId13">
            <anchor moveWithCells="1" sizeWithCells="1">
              <from>
                <xdr:col>0</xdr:col>
                <xdr:colOff>38100</xdr:colOff>
                <xdr:row>149</xdr:row>
                <xdr:rowOff>0</xdr:rowOff>
              </from>
              <to>
                <xdr:col>0</xdr:col>
                <xdr:colOff>678180</xdr:colOff>
                <xdr:row>149</xdr:row>
                <xdr:rowOff>15240</xdr:rowOff>
              </to>
            </anchor>
          </objectPr>
        </oleObject>
      </mc:Choice>
      <mc:Fallback>
        <oleObject progId="Equation.3" shapeId="6149" r:id="rId12"/>
      </mc:Fallback>
    </mc:AlternateContent>
    <mc:AlternateContent xmlns:mc="http://schemas.openxmlformats.org/markup-compatibility/2006">
      <mc:Choice Requires="x14">
        <oleObject progId="Equation.3" shapeId="6150" r:id="rId14">
          <objectPr defaultSize="0" autoPict="0" r:id="rId15">
            <anchor moveWithCells="1" sizeWithCells="1">
              <from>
                <xdr:col>0</xdr:col>
                <xdr:colOff>53340</xdr:colOff>
                <xdr:row>89</xdr:row>
                <xdr:rowOff>15240</xdr:rowOff>
              </from>
              <to>
                <xdr:col>0</xdr:col>
                <xdr:colOff>944880</xdr:colOff>
                <xdr:row>91</xdr:row>
                <xdr:rowOff>0</xdr:rowOff>
              </to>
            </anchor>
          </objectPr>
        </oleObject>
      </mc:Choice>
      <mc:Fallback>
        <oleObject progId="Equation.3" shapeId="6150" r:id="rId14"/>
      </mc:Fallback>
    </mc:AlternateContent>
    <mc:AlternateContent xmlns:mc="http://schemas.openxmlformats.org/markup-compatibility/2006">
      <mc:Choice Requires="x14">
        <oleObject progId="Equation.3" shapeId="6151" r:id="rId16">
          <objectPr defaultSize="0" autoPict="0" r:id="rId17">
            <anchor moveWithCells="1" sizeWithCells="1">
              <from>
                <xdr:col>0</xdr:col>
                <xdr:colOff>38100</xdr:colOff>
                <xdr:row>84</xdr:row>
                <xdr:rowOff>22860</xdr:rowOff>
              </from>
              <to>
                <xdr:col>0</xdr:col>
                <xdr:colOff>434340</xdr:colOff>
                <xdr:row>86</xdr:row>
                <xdr:rowOff>0</xdr:rowOff>
              </to>
            </anchor>
          </objectPr>
        </oleObject>
      </mc:Choice>
      <mc:Fallback>
        <oleObject progId="Equation.3" shapeId="6151" r:id="rId16"/>
      </mc:Fallback>
    </mc:AlternateContent>
    <mc:AlternateContent xmlns:mc="http://schemas.openxmlformats.org/markup-compatibility/2006">
      <mc:Choice Requires="x14">
        <oleObject progId="Equation.3" shapeId="6152" r:id="rId18">
          <objectPr defaultSize="0" autoPict="0" r:id="rId19">
            <anchor moveWithCells="1" sizeWithCells="1">
              <from>
                <xdr:col>0</xdr:col>
                <xdr:colOff>38100</xdr:colOff>
                <xdr:row>104</xdr:row>
                <xdr:rowOff>7620</xdr:rowOff>
              </from>
              <to>
                <xdr:col>0</xdr:col>
                <xdr:colOff>746760</xdr:colOff>
                <xdr:row>105</xdr:row>
                <xdr:rowOff>144780</xdr:rowOff>
              </to>
            </anchor>
          </objectPr>
        </oleObject>
      </mc:Choice>
      <mc:Fallback>
        <oleObject progId="Equation.3" shapeId="6152" r:id="rId18"/>
      </mc:Fallback>
    </mc:AlternateContent>
    <mc:AlternateContent xmlns:mc="http://schemas.openxmlformats.org/markup-compatibility/2006">
      <mc:Choice Requires="x14">
        <oleObject progId="Equation.3" shapeId="6153" r:id="rId20">
          <objectPr defaultSize="0" autoPict="0" r:id="rId21">
            <anchor moveWithCells="1" sizeWithCells="1">
              <from>
                <xdr:col>0</xdr:col>
                <xdr:colOff>22860</xdr:colOff>
                <xdr:row>102</xdr:row>
                <xdr:rowOff>15240</xdr:rowOff>
              </from>
              <to>
                <xdr:col>0</xdr:col>
                <xdr:colOff>655320</xdr:colOff>
                <xdr:row>103</xdr:row>
                <xdr:rowOff>160020</xdr:rowOff>
              </to>
            </anchor>
          </objectPr>
        </oleObject>
      </mc:Choice>
      <mc:Fallback>
        <oleObject progId="Equation.3" shapeId="6153" r:id="rId20"/>
      </mc:Fallback>
    </mc:AlternateContent>
    <mc:AlternateContent xmlns:mc="http://schemas.openxmlformats.org/markup-compatibility/2006">
      <mc:Choice Requires="x14">
        <oleObject progId="Equation.3" shapeId="6154" r:id="rId22">
          <objectPr defaultSize="0" autoPict="0" r:id="rId23">
            <anchor moveWithCells="1" sizeWithCells="1">
              <from>
                <xdr:col>3</xdr:col>
                <xdr:colOff>22860</xdr:colOff>
                <xdr:row>120</xdr:row>
                <xdr:rowOff>15240</xdr:rowOff>
              </from>
              <to>
                <xdr:col>4</xdr:col>
                <xdr:colOff>281940</xdr:colOff>
                <xdr:row>122</xdr:row>
                <xdr:rowOff>30480</xdr:rowOff>
              </to>
            </anchor>
          </objectPr>
        </oleObject>
      </mc:Choice>
      <mc:Fallback>
        <oleObject progId="Equation.3" shapeId="6154" r:id="rId22"/>
      </mc:Fallback>
    </mc:AlternateContent>
    <mc:AlternateContent xmlns:mc="http://schemas.openxmlformats.org/markup-compatibility/2006">
      <mc:Choice Requires="x14">
        <oleObject progId="Equation.3" shapeId="6155" r:id="rId24">
          <objectPr defaultSize="0" autoPict="0" r:id="rId25">
            <anchor moveWithCells="1" sizeWithCells="1">
              <from>
                <xdr:col>0</xdr:col>
                <xdr:colOff>22860</xdr:colOff>
                <xdr:row>58</xdr:row>
                <xdr:rowOff>15240</xdr:rowOff>
              </from>
              <to>
                <xdr:col>1</xdr:col>
                <xdr:colOff>327660</xdr:colOff>
                <xdr:row>60</xdr:row>
                <xdr:rowOff>15240</xdr:rowOff>
              </to>
            </anchor>
          </objectPr>
        </oleObject>
      </mc:Choice>
      <mc:Fallback>
        <oleObject progId="Equation.3" shapeId="6155" r:id="rId24"/>
      </mc:Fallback>
    </mc:AlternateContent>
    <mc:AlternateContent xmlns:mc="http://schemas.openxmlformats.org/markup-compatibility/2006">
      <mc:Choice Requires="x14">
        <oleObject progId="Equation.3" shapeId="6156" r:id="rId26">
          <objectPr defaultSize="0" autoPict="0" r:id="rId27">
            <anchor moveWithCells="1" sizeWithCells="1">
              <from>
                <xdr:col>0</xdr:col>
                <xdr:colOff>7620</xdr:colOff>
                <xdr:row>116</xdr:row>
                <xdr:rowOff>15240</xdr:rowOff>
              </from>
              <to>
                <xdr:col>1</xdr:col>
                <xdr:colOff>0</xdr:colOff>
                <xdr:row>117</xdr:row>
                <xdr:rowOff>144780</xdr:rowOff>
              </to>
            </anchor>
          </objectPr>
        </oleObject>
      </mc:Choice>
      <mc:Fallback>
        <oleObject progId="Equation.3" shapeId="6156" r:id="rId26"/>
      </mc:Fallback>
    </mc:AlternateContent>
    <mc:AlternateContent xmlns:mc="http://schemas.openxmlformats.org/markup-compatibility/2006">
      <mc:Choice Requires="x14">
        <oleObject progId="Equation.3" shapeId="6157" r:id="rId28">
          <objectPr defaultSize="0" autoPict="0" r:id="rId29">
            <anchor moveWithCells="1" sizeWithCells="1">
              <from>
                <xdr:col>0</xdr:col>
                <xdr:colOff>7620</xdr:colOff>
                <xdr:row>120</xdr:row>
                <xdr:rowOff>15240</xdr:rowOff>
              </from>
              <to>
                <xdr:col>1</xdr:col>
                <xdr:colOff>861060</xdr:colOff>
                <xdr:row>122</xdr:row>
                <xdr:rowOff>22860</xdr:rowOff>
              </to>
            </anchor>
          </objectPr>
        </oleObject>
      </mc:Choice>
      <mc:Fallback>
        <oleObject progId="Equation.3" shapeId="6157" r:id="rId28"/>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0CF0C-1813-4CBB-82D1-C74DFEF84348}">
  <dimension ref="A1:G24"/>
  <sheetViews>
    <sheetView topLeftCell="A7" zoomScale="190" zoomScaleNormal="190" workbookViewId="0">
      <selection activeCell="D14" sqref="D14"/>
    </sheetView>
  </sheetViews>
  <sheetFormatPr defaultColWidth="8.77734375" defaultRowHeight="15" x14ac:dyDescent="0.25"/>
  <cols>
    <col min="1" max="1" width="27.21875" style="2" bestFit="1" customWidth="1"/>
    <col min="2" max="2" width="9.77734375" style="2" bestFit="1" customWidth="1"/>
    <col min="3" max="3" width="10.6640625" style="2" bestFit="1" customWidth="1"/>
    <col min="4" max="4" width="11.6640625" style="2" bestFit="1" customWidth="1"/>
    <col min="5" max="16384" width="8.77734375" style="2"/>
  </cols>
  <sheetData>
    <row r="1" spans="1:5" ht="18.600000000000001" x14ac:dyDescent="0.4">
      <c r="A1" s="1" t="s">
        <v>11</v>
      </c>
      <c r="B1" s="63">
        <f>+'o-Ride E_730'!B2</f>
        <v>730</v>
      </c>
      <c r="C1" s="2" t="s">
        <v>40</v>
      </c>
      <c r="D1" s="60">
        <f>+ROUND(B1*9.81,2)</f>
        <v>7161.3</v>
      </c>
      <c r="E1" s="2" t="s">
        <v>0</v>
      </c>
    </row>
    <row r="2" spans="1:5" ht="16.2" x14ac:dyDescent="0.3">
      <c r="A2" s="2" t="s">
        <v>7</v>
      </c>
      <c r="B2" s="6">
        <v>0.9</v>
      </c>
    </row>
    <row r="3" spans="1:5" ht="16.2" x14ac:dyDescent="0.3">
      <c r="A3" s="1" t="s">
        <v>273</v>
      </c>
      <c r="B3" s="2">
        <f>ROUND(B1/B2,2)</f>
        <v>811.11</v>
      </c>
      <c r="C3" s="2" t="s">
        <v>40</v>
      </c>
      <c r="D3" s="60">
        <f>+ROUND(B3*9.81,2)</f>
        <v>7956.99</v>
      </c>
      <c r="E3" s="2" t="s">
        <v>0</v>
      </c>
    </row>
    <row r="4" spans="1:5" ht="18.600000000000001" x14ac:dyDescent="0.4">
      <c r="A4" s="5" t="s">
        <v>12</v>
      </c>
      <c r="B4" s="60">
        <f>+'o-Ride E_730'!B9</f>
        <v>10</v>
      </c>
      <c r="C4" s="2" t="s">
        <v>19</v>
      </c>
      <c r="D4" s="2">
        <f>+B4/1000</f>
        <v>0.01</v>
      </c>
      <c r="E4" s="2" t="s">
        <v>4</v>
      </c>
    </row>
    <row r="5" spans="1:5" ht="18.600000000000001" x14ac:dyDescent="0.4">
      <c r="A5" s="2" t="s">
        <v>272</v>
      </c>
      <c r="B5" s="60">
        <f>+ROUND(B1*D4/(2*PI()*B2),2)</f>
        <v>1.29</v>
      </c>
      <c r="C5" s="2" t="s">
        <v>271</v>
      </c>
      <c r="D5" s="60">
        <f>+ROUND(D1*D4/(2*PI()*B2),2)</f>
        <v>12.66</v>
      </c>
      <c r="E5" s="2" t="s">
        <v>13</v>
      </c>
    </row>
    <row r="6" spans="1:5" x14ac:dyDescent="0.25">
      <c r="B6" s="60"/>
      <c r="D6" s="60"/>
    </row>
    <row r="7" spans="1:5" x14ac:dyDescent="0.25">
      <c r="B7" s="60"/>
      <c r="D7" s="60"/>
    </row>
    <row r="8" spans="1:5" ht="18.600000000000001" x14ac:dyDescent="0.4">
      <c r="A8" s="57" t="s">
        <v>8</v>
      </c>
      <c r="B8" s="6">
        <v>0.95</v>
      </c>
    </row>
    <row r="9" spans="1:5" s="3" customFormat="1" ht="18.600000000000001" x14ac:dyDescent="0.4">
      <c r="A9" s="3" t="s">
        <v>270</v>
      </c>
      <c r="B9" s="62">
        <f>+'o-Ride E_730'!B40</f>
        <v>32</v>
      </c>
    </row>
    <row r="10" spans="1:5" s="3" customFormat="1" ht="18.600000000000001" x14ac:dyDescent="0.4">
      <c r="A10" s="3" t="s">
        <v>269</v>
      </c>
      <c r="B10" s="62">
        <f>+'o-Ride E_730'!B46</f>
        <v>48</v>
      </c>
      <c r="D10" s="61"/>
    </row>
    <row r="11" spans="1:5" ht="16.2" x14ac:dyDescent="0.3">
      <c r="A11" s="5" t="s">
        <v>281</v>
      </c>
      <c r="B11" s="60">
        <f>+B10/B9</f>
        <v>1.5</v>
      </c>
    </row>
    <row r="12" spans="1:5" x14ac:dyDescent="0.25">
      <c r="B12" s="60"/>
    </row>
    <row r="13" spans="1:5" x14ac:dyDescent="0.25">
      <c r="B13" s="60"/>
    </row>
    <row r="14" spans="1:5" ht="18.600000000000001" x14ac:dyDescent="0.4">
      <c r="A14" s="2" t="s">
        <v>268</v>
      </c>
      <c r="B14" s="58">
        <f>+D5/(B11*B8)</f>
        <v>8.8842105263157904</v>
      </c>
      <c r="C14" s="2" t="s">
        <v>13</v>
      </c>
      <c r="D14" s="59">
        <f>+(D1*D4)/(2*PI()*B2*B11*B8)</f>
        <v>8.8869886468927106</v>
      </c>
      <c r="E14" s="2" t="s">
        <v>13</v>
      </c>
    </row>
    <row r="15" spans="1:5" x14ac:dyDescent="0.25">
      <c r="B15" s="58"/>
      <c r="D15" s="59"/>
    </row>
    <row r="17" spans="1:7" x14ac:dyDescent="0.25">
      <c r="E17" s="58"/>
    </row>
    <row r="19" spans="1:7" ht="16.2" x14ac:dyDescent="0.3">
      <c r="E19"/>
      <c r="G19"/>
    </row>
    <row r="24" spans="1:7" x14ac:dyDescent="0.25">
      <c r="A24" s="57"/>
    </row>
  </sheetData>
  <phoneticPr fontId="6"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5082D-FBC0-46F4-A990-2265564D2C7F}">
  <dimension ref="A1:H18"/>
  <sheetViews>
    <sheetView zoomScale="175" zoomScaleNormal="175" workbookViewId="0">
      <selection activeCell="E10" sqref="E10"/>
    </sheetView>
  </sheetViews>
  <sheetFormatPr defaultColWidth="8.77734375" defaultRowHeight="15" x14ac:dyDescent="0.25"/>
  <cols>
    <col min="1" max="1" width="28.109375" style="3" customWidth="1"/>
    <col min="2" max="2" width="13.44140625" style="3" bestFit="1" customWidth="1"/>
    <col min="3" max="3" width="8.77734375" style="3"/>
    <col min="4" max="4" width="10.44140625" style="3" bestFit="1" customWidth="1"/>
    <col min="5" max="5" width="13.44140625" style="3" bestFit="1" customWidth="1"/>
    <col min="6" max="6" width="9.77734375" style="3" bestFit="1" customWidth="1"/>
    <col min="7" max="7" width="11.6640625" style="3" bestFit="1" customWidth="1"/>
    <col min="8" max="16384" width="8.77734375" style="3"/>
  </cols>
  <sheetData>
    <row r="1" spans="1:8" ht="18.600000000000001" x14ac:dyDescent="0.4">
      <c r="A1" s="5" t="s">
        <v>278</v>
      </c>
      <c r="B1" s="59">
        <f>+'o-Ride E_730'!B29</f>
        <v>9.5500000000000007</v>
      </c>
      <c r="C1" s="3" t="s">
        <v>1</v>
      </c>
    </row>
    <row r="2" spans="1:8" ht="18.600000000000001" x14ac:dyDescent="0.4">
      <c r="A2" s="3" t="s">
        <v>270</v>
      </c>
      <c r="B2" s="3">
        <f>+'o-Ride E_730'!B40</f>
        <v>32</v>
      </c>
    </row>
    <row r="3" spans="1:8" ht="18.600000000000001" x14ac:dyDescent="0.4">
      <c r="A3" s="3" t="s">
        <v>269</v>
      </c>
      <c r="B3" s="3">
        <f>+'o-Ride E_730'!B46</f>
        <v>48</v>
      </c>
    </row>
    <row r="4" spans="1:8" s="2" customFormat="1" ht="16.2" x14ac:dyDescent="0.3">
      <c r="A4" s="5" t="s">
        <v>281</v>
      </c>
      <c r="B4" s="60">
        <f>+B3/B2</f>
        <v>1.5</v>
      </c>
    </row>
    <row r="5" spans="1:8" s="2" customFormat="1" x14ac:dyDescent="0.25">
      <c r="B5" s="60"/>
    </row>
    <row r="6" spans="1:8" s="2" customFormat="1" x14ac:dyDescent="0.25">
      <c r="B6" s="60"/>
    </row>
    <row r="7" spans="1:8" ht="18.600000000000001" x14ac:dyDescent="0.4">
      <c r="A7" s="57" t="s">
        <v>276</v>
      </c>
      <c r="B7" s="65">
        <v>0.95</v>
      </c>
    </row>
    <row r="8" spans="1:8" s="2" customFormat="1" ht="18.600000000000001" x14ac:dyDescent="0.4">
      <c r="A8" s="5" t="s">
        <v>10</v>
      </c>
      <c r="B8" s="60">
        <f>+ROUND(B1*B4*B7,2)</f>
        <v>13.61</v>
      </c>
      <c r="C8" s="2" t="s">
        <v>13</v>
      </c>
      <c r="D8" s="60"/>
    </row>
    <row r="9" spans="1:8" s="2" customFormat="1" x14ac:dyDescent="0.25">
      <c r="B9" s="60"/>
      <c r="D9" s="60"/>
    </row>
    <row r="10" spans="1:8" s="2" customFormat="1" x14ac:dyDescent="0.25">
      <c r="B10" s="60"/>
      <c r="D10" s="60"/>
    </row>
    <row r="11" spans="1:8" ht="18.600000000000001" x14ac:dyDescent="0.4">
      <c r="A11" s="3" t="s">
        <v>275</v>
      </c>
      <c r="B11" s="3">
        <f>'o-Ride E_730'!B9/1000</f>
        <v>0.01</v>
      </c>
      <c r="C11" s="3" t="s">
        <v>4</v>
      </c>
    </row>
    <row r="12" spans="1:8" s="2" customFormat="1" ht="16.2" x14ac:dyDescent="0.3">
      <c r="A12" s="1" t="s">
        <v>274</v>
      </c>
      <c r="B12" s="6">
        <v>0.9</v>
      </c>
    </row>
    <row r="13" spans="1:8" ht="18.600000000000001" x14ac:dyDescent="0.4">
      <c r="A13" s="1" t="s">
        <v>11</v>
      </c>
      <c r="B13" s="64">
        <f>ROUND(2*PI()*B12*B8/B11,2)</f>
        <v>7696.27</v>
      </c>
      <c r="C13" s="3" t="s">
        <v>0</v>
      </c>
      <c r="D13" s="3">
        <f>+ROUND(B13/9.81,2)</f>
        <v>784.53</v>
      </c>
      <c r="E13" s="64" t="s">
        <v>40</v>
      </c>
      <c r="G13" s="59">
        <f>ROUND(2*PI()*B12*B1*B4*B7/B11,2)</f>
        <v>7695.57</v>
      </c>
      <c r="H13" s="3" t="s">
        <v>0</v>
      </c>
    </row>
    <row r="18" spans="5:5" x14ac:dyDescent="0.25">
      <c r="E18" s="59"/>
    </row>
  </sheetData>
  <phoneticPr fontId="6"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7F320-72C8-4B8D-9D38-F011B8DA1A05}">
  <sheetPr>
    <pageSetUpPr fitToPage="1"/>
  </sheetPr>
  <dimension ref="A1:AM187"/>
  <sheetViews>
    <sheetView zoomScale="145" zoomScaleNormal="145" workbookViewId="0">
      <pane ySplit="1" topLeftCell="A2" activePane="bottomLeft" state="frozen"/>
      <selection activeCell="B3" sqref="B3"/>
      <selection pane="bottomLeft" activeCell="B25" sqref="B25"/>
    </sheetView>
  </sheetViews>
  <sheetFormatPr defaultColWidth="9" defaultRowHeight="15" x14ac:dyDescent="0.3"/>
  <cols>
    <col min="1" max="1" width="28.88671875" style="9" customWidth="1"/>
    <col min="2" max="2" width="25.5546875" style="9" bestFit="1" customWidth="1"/>
    <col min="3" max="3" width="14.109375" style="9" bestFit="1" customWidth="1"/>
    <col min="4" max="4" width="27.77734375" style="9" bestFit="1" customWidth="1"/>
    <col min="5" max="5" width="13.77734375" style="9" bestFit="1" customWidth="1"/>
    <col min="6" max="7" width="16" style="9" bestFit="1" customWidth="1"/>
    <col min="8" max="8" width="11.6640625" style="9" bestFit="1" customWidth="1"/>
    <col min="9" max="9" width="9.88671875" style="9" bestFit="1" customWidth="1"/>
    <col min="10" max="10" width="9.88671875" style="9" customWidth="1"/>
    <col min="11" max="11" width="29.109375" style="9" bestFit="1" customWidth="1"/>
    <col min="12" max="12" width="19.44140625" style="9" bestFit="1" customWidth="1"/>
    <col min="13" max="13" width="16.88671875" style="9" bestFit="1" customWidth="1"/>
    <col min="14" max="14" width="16.77734375" style="9" bestFit="1" customWidth="1"/>
    <col min="15" max="15" width="23.21875" style="9" bestFit="1" customWidth="1"/>
    <col min="16" max="16" width="24.77734375" style="9" bestFit="1" customWidth="1"/>
    <col min="17" max="17" width="17.77734375" style="9" bestFit="1" customWidth="1"/>
    <col min="18" max="18" width="12.88671875" style="9" bestFit="1" customWidth="1"/>
    <col min="19" max="19" width="9.6640625" style="9" bestFit="1" customWidth="1"/>
    <col min="20" max="20" width="23.5546875" style="9" bestFit="1" customWidth="1"/>
    <col min="21" max="21" width="18" style="9" bestFit="1" customWidth="1"/>
    <col min="22" max="22" width="15.5546875" style="9" bestFit="1" customWidth="1"/>
    <col min="23" max="24" width="10.5546875" style="9" bestFit="1" customWidth="1"/>
    <col min="25" max="25" width="13" style="9" bestFit="1" customWidth="1"/>
    <col min="26" max="26" width="15.5546875" style="9" bestFit="1" customWidth="1"/>
    <col min="27" max="28" width="10.5546875" style="9" bestFit="1" customWidth="1"/>
    <col min="29" max="29" width="9.88671875" style="9" bestFit="1" customWidth="1"/>
    <col min="30" max="31" width="10.5546875" style="9" bestFit="1" customWidth="1"/>
    <col min="32" max="32" width="12.33203125" style="9" bestFit="1" customWidth="1"/>
    <col min="33" max="34" width="9" style="9"/>
    <col min="35" max="35" width="21" style="9" bestFit="1" customWidth="1"/>
    <col min="36" max="36" width="6" style="9" bestFit="1" customWidth="1"/>
    <col min="37" max="37" width="10.5546875" style="9" bestFit="1" customWidth="1"/>
    <col min="38" max="38" width="15.109375" style="9" bestFit="1" customWidth="1"/>
    <col min="39" max="39" width="13.5546875" style="9" bestFit="1" customWidth="1"/>
    <col min="40" max="41" width="9" style="9"/>
    <col min="42" max="42" width="19.6640625" style="9" bestFit="1" customWidth="1"/>
    <col min="43" max="43" width="5.44140625" style="9" bestFit="1" customWidth="1"/>
    <col min="44" max="44" width="9.44140625" style="9" bestFit="1" customWidth="1"/>
    <col min="45" max="45" width="13.44140625" style="9" bestFit="1" customWidth="1"/>
    <col min="46" max="46" width="12.109375" style="9" bestFit="1" customWidth="1"/>
    <col min="47" max="16384" width="9" style="9"/>
  </cols>
  <sheetData>
    <row r="1" spans="1:39" ht="16.2" x14ac:dyDescent="0.3">
      <c r="A1" s="4" t="s">
        <v>267</v>
      </c>
      <c r="B1" s="15">
        <v>1500</v>
      </c>
      <c r="C1" s="9" t="s">
        <v>18</v>
      </c>
      <c r="K1" s="4" t="s">
        <v>240</v>
      </c>
      <c r="L1" s="4" t="s">
        <v>266</v>
      </c>
      <c r="M1" s="4" t="s">
        <v>265</v>
      </c>
      <c r="N1" s="4" t="s">
        <v>264</v>
      </c>
      <c r="O1" s="4" t="s">
        <v>263</v>
      </c>
      <c r="P1" s="4" t="s">
        <v>262</v>
      </c>
      <c r="Q1" s="4" t="s">
        <v>261</v>
      </c>
      <c r="R1" s="4" t="s">
        <v>260</v>
      </c>
      <c r="T1" s="4" t="s">
        <v>184</v>
      </c>
      <c r="U1" s="4" t="s">
        <v>181</v>
      </c>
      <c r="V1" s="4" t="s">
        <v>178</v>
      </c>
      <c r="W1" s="4" t="s">
        <v>259</v>
      </c>
      <c r="X1" s="4" t="s">
        <v>173</v>
      </c>
      <c r="Y1" s="4" t="s">
        <v>258</v>
      </c>
      <c r="Z1" s="4" t="s">
        <v>169</v>
      </c>
      <c r="AA1" s="4" t="s">
        <v>166</v>
      </c>
      <c r="AB1" s="4" t="s">
        <v>164</v>
      </c>
      <c r="AC1" s="4" t="s">
        <v>161</v>
      </c>
      <c r="AD1" s="4" t="s">
        <v>24</v>
      </c>
      <c r="AE1" s="4" t="s">
        <v>23</v>
      </c>
      <c r="AI1" s="4" t="s">
        <v>257</v>
      </c>
      <c r="AJ1" s="4" t="s">
        <v>256</v>
      </c>
      <c r="AK1" s="4" t="s">
        <v>132</v>
      </c>
      <c r="AL1" s="4" t="s">
        <v>255</v>
      </c>
      <c r="AM1" s="4" t="s">
        <v>254</v>
      </c>
    </row>
    <row r="2" spans="1:39" ht="18.600000000000001" x14ac:dyDescent="0.4">
      <c r="A2" s="66" t="s">
        <v>11</v>
      </c>
      <c r="B2" s="56">
        <v>500</v>
      </c>
      <c r="C2" s="9" t="s">
        <v>40</v>
      </c>
      <c r="D2" s="9">
        <v>6</v>
      </c>
      <c r="E2" s="9" t="s">
        <v>253</v>
      </c>
      <c r="F2" s="14">
        <f>D2*B2</f>
        <v>3000</v>
      </c>
      <c r="G2" s="9" t="str">
        <f>C2</f>
        <v>kgf</v>
      </c>
      <c r="I2" s="9">
        <v>102</v>
      </c>
      <c r="K2" s="78" t="s">
        <v>321</v>
      </c>
      <c r="L2" s="79">
        <v>16</v>
      </c>
      <c r="M2" s="79">
        <v>5</v>
      </c>
      <c r="N2" s="79">
        <v>3</v>
      </c>
      <c r="O2" s="79">
        <v>1020</v>
      </c>
      <c r="P2" s="79">
        <v>1551</v>
      </c>
      <c r="Q2" s="79"/>
      <c r="R2" s="79">
        <v>35</v>
      </c>
      <c r="S2" s="78" t="s">
        <v>286</v>
      </c>
      <c r="T2" s="78" t="s">
        <v>475</v>
      </c>
      <c r="U2" s="83"/>
      <c r="V2" s="79">
        <v>0.4</v>
      </c>
      <c r="W2" s="84">
        <v>1000</v>
      </c>
      <c r="X2" s="79">
        <v>3.82</v>
      </c>
      <c r="Y2" s="79">
        <v>2</v>
      </c>
      <c r="Z2" s="84">
        <v>1500</v>
      </c>
      <c r="AA2" s="79">
        <v>11.5</v>
      </c>
      <c r="AB2" s="83">
        <v>6</v>
      </c>
      <c r="AC2" s="79">
        <v>5.8</v>
      </c>
      <c r="AD2" s="84">
        <v>19</v>
      </c>
      <c r="AE2" s="79">
        <f>58-5.3</f>
        <v>52.7</v>
      </c>
      <c r="AF2" s="78" t="s">
        <v>476</v>
      </c>
      <c r="AI2" s="9" t="s">
        <v>251</v>
      </c>
      <c r="AJ2" s="9">
        <v>18</v>
      </c>
      <c r="AK2" s="9">
        <v>25</v>
      </c>
      <c r="AL2" s="16">
        <v>45.84</v>
      </c>
      <c r="AM2" s="9">
        <v>33</v>
      </c>
    </row>
    <row r="3" spans="1:39" ht="16.2" x14ac:dyDescent="0.3">
      <c r="A3" s="4" t="s">
        <v>250</v>
      </c>
      <c r="B3" s="15">
        <v>200</v>
      </c>
      <c r="C3" s="9" t="s">
        <v>19</v>
      </c>
      <c r="K3" s="78" t="s">
        <v>322</v>
      </c>
      <c r="L3" s="79">
        <v>30</v>
      </c>
      <c r="M3" s="79">
        <v>5</v>
      </c>
      <c r="N3" s="79"/>
      <c r="O3" s="79">
        <v>9386</v>
      </c>
      <c r="P3" s="79">
        <v>18196</v>
      </c>
      <c r="Q3" s="79"/>
      <c r="R3" s="79">
        <v>85</v>
      </c>
      <c r="S3" s="78" t="s">
        <v>286</v>
      </c>
      <c r="T3" s="78" t="s">
        <v>477</v>
      </c>
      <c r="U3" s="83"/>
      <c r="V3" s="79">
        <v>0.6</v>
      </c>
      <c r="W3" s="84">
        <v>1500</v>
      </c>
      <c r="X3" s="79">
        <v>4</v>
      </c>
      <c r="Y3" s="79">
        <v>2.6</v>
      </c>
      <c r="Z3" s="84">
        <v>2000</v>
      </c>
      <c r="AA3" s="79">
        <v>12</v>
      </c>
      <c r="AB3" s="83">
        <v>7.8</v>
      </c>
      <c r="AC3" s="79">
        <v>5.8</v>
      </c>
      <c r="AD3" s="84">
        <v>19</v>
      </c>
      <c r="AE3" s="79">
        <f>58-5.3</f>
        <v>52.7</v>
      </c>
      <c r="AF3" s="78" t="s">
        <v>476</v>
      </c>
      <c r="AI3" s="9" t="s">
        <v>248</v>
      </c>
      <c r="AJ3" s="9">
        <v>18</v>
      </c>
      <c r="AK3" s="9">
        <v>30</v>
      </c>
      <c r="AL3" s="16">
        <v>45.84</v>
      </c>
      <c r="AM3" s="9">
        <v>38</v>
      </c>
    </row>
    <row r="4" spans="1:39" ht="16.2" x14ac:dyDescent="0.3">
      <c r="A4" s="4" t="s">
        <v>247</v>
      </c>
      <c r="B4" s="15">
        <v>90</v>
      </c>
      <c r="C4" s="9" t="s">
        <v>246</v>
      </c>
      <c r="K4" s="78" t="s">
        <v>287</v>
      </c>
      <c r="L4" s="79">
        <v>30</v>
      </c>
      <c r="M4" s="79">
        <v>6</v>
      </c>
      <c r="N4" s="79"/>
      <c r="O4" s="79">
        <v>9694</v>
      </c>
      <c r="P4" s="79">
        <v>17892</v>
      </c>
      <c r="Q4" s="79"/>
      <c r="R4" s="79">
        <v>85</v>
      </c>
      <c r="S4" s="78" t="s">
        <v>286</v>
      </c>
      <c r="T4" s="78" t="s">
        <v>478</v>
      </c>
      <c r="U4" s="83"/>
      <c r="V4" s="79">
        <v>0.75</v>
      </c>
      <c r="W4" s="84">
        <v>2000</v>
      </c>
      <c r="X4" s="79">
        <v>3.58</v>
      </c>
      <c r="Y4" s="79">
        <v>3.2</v>
      </c>
      <c r="Z4" s="84">
        <v>2500</v>
      </c>
      <c r="AA4" s="79">
        <v>10.7</v>
      </c>
      <c r="AB4" s="83">
        <v>9.6</v>
      </c>
      <c r="AC4" s="79">
        <v>5.8</v>
      </c>
      <c r="AD4" s="84">
        <v>19</v>
      </c>
      <c r="AE4" s="79">
        <f>58-5.3</f>
        <v>52.7</v>
      </c>
      <c r="AF4" s="78" t="s">
        <v>476</v>
      </c>
      <c r="AI4" s="9" t="s">
        <v>245</v>
      </c>
      <c r="AJ4" s="9">
        <v>19</v>
      </c>
      <c r="AK4" s="9">
        <v>25</v>
      </c>
      <c r="AL4" s="16">
        <v>48.38</v>
      </c>
      <c r="AM4" s="9">
        <v>33</v>
      </c>
    </row>
    <row r="5" spans="1:39" ht="16.2" x14ac:dyDescent="0.3">
      <c r="A5" s="4" t="s">
        <v>244</v>
      </c>
      <c r="B5" s="16">
        <v>0.01</v>
      </c>
      <c r="K5" s="78" t="s">
        <v>288</v>
      </c>
      <c r="L5" s="79">
        <v>30</v>
      </c>
      <c r="M5" s="79">
        <v>10</v>
      </c>
      <c r="N5" s="79"/>
      <c r="O5" s="79">
        <v>10849</v>
      </c>
      <c r="P5" s="79">
        <v>17792</v>
      </c>
      <c r="Q5" s="79"/>
      <c r="R5" s="79">
        <v>85</v>
      </c>
      <c r="S5" s="78" t="s">
        <v>286</v>
      </c>
      <c r="T5" s="78" t="s">
        <v>479</v>
      </c>
      <c r="U5" s="83"/>
      <c r="V5" s="79">
        <v>0.75</v>
      </c>
      <c r="W5" s="84">
        <v>1500</v>
      </c>
      <c r="X5" s="79">
        <v>5</v>
      </c>
      <c r="Y5" s="79">
        <v>3.2</v>
      </c>
      <c r="Z5" s="84">
        <v>2000</v>
      </c>
      <c r="AA5" s="79">
        <v>12</v>
      </c>
      <c r="AB5" s="83">
        <v>9.6</v>
      </c>
      <c r="AC5" s="79">
        <v>6.6</v>
      </c>
      <c r="AD5" s="84">
        <v>19</v>
      </c>
      <c r="AE5" s="79">
        <f>58-5.3</f>
        <v>52.7</v>
      </c>
      <c r="AF5" s="78" t="s">
        <v>476</v>
      </c>
      <c r="AI5" s="9" t="s">
        <v>243</v>
      </c>
      <c r="AJ5" s="9">
        <v>19</v>
      </c>
      <c r="AK5" s="9">
        <v>30</v>
      </c>
      <c r="AL5" s="16">
        <v>48.38</v>
      </c>
      <c r="AM5" s="9">
        <v>38</v>
      </c>
    </row>
    <row r="6" spans="1:39" x14ac:dyDescent="0.3">
      <c r="K6" s="78" t="s">
        <v>289</v>
      </c>
      <c r="L6" s="79">
        <v>30</v>
      </c>
      <c r="M6" s="79">
        <v>20</v>
      </c>
      <c r="N6" s="79"/>
      <c r="O6" s="79">
        <v>12580</v>
      </c>
      <c r="P6" s="79">
        <v>18090</v>
      </c>
      <c r="Q6" s="79"/>
      <c r="R6" s="79">
        <v>85</v>
      </c>
      <c r="S6" s="78" t="s">
        <v>286</v>
      </c>
      <c r="T6" s="78" t="s">
        <v>480</v>
      </c>
      <c r="U6" s="9" t="s">
        <v>481</v>
      </c>
      <c r="V6" s="85">
        <v>2</v>
      </c>
      <c r="W6" s="86">
        <v>3000</v>
      </c>
      <c r="X6" s="85">
        <v>6.4</v>
      </c>
      <c r="Y6" s="85">
        <v>9.5</v>
      </c>
      <c r="Z6" s="86">
        <v>5000</v>
      </c>
      <c r="AA6" s="85">
        <v>19.2</v>
      </c>
      <c r="AB6" s="38"/>
      <c r="AC6" s="85"/>
      <c r="AD6" s="87">
        <v>19</v>
      </c>
      <c r="AE6" s="88">
        <v>50</v>
      </c>
      <c r="AF6" s="78" t="s">
        <v>476</v>
      </c>
      <c r="AI6" s="9" t="s">
        <v>241</v>
      </c>
      <c r="AJ6" s="9">
        <v>20</v>
      </c>
      <c r="AK6" s="9">
        <v>25</v>
      </c>
      <c r="AL6" s="16">
        <v>50.93</v>
      </c>
      <c r="AM6" s="9">
        <v>33</v>
      </c>
    </row>
    <row r="7" spans="1:39" ht="16.2" x14ac:dyDescent="0.3">
      <c r="A7" s="47" t="s">
        <v>240</v>
      </c>
      <c r="B7" s="46" t="s">
        <v>474</v>
      </c>
      <c r="C7" s="10"/>
      <c r="K7" s="78" t="s">
        <v>290</v>
      </c>
      <c r="L7" s="79">
        <v>30</v>
      </c>
      <c r="M7" s="79">
        <v>6</v>
      </c>
      <c r="N7" s="79"/>
      <c r="O7" s="79">
        <v>9230</v>
      </c>
      <c r="P7" s="79">
        <v>18305</v>
      </c>
      <c r="Q7" s="79"/>
      <c r="R7" s="79">
        <v>80</v>
      </c>
      <c r="S7" s="78" t="s">
        <v>286</v>
      </c>
      <c r="T7" s="78" t="s">
        <v>482</v>
      </c>
      <c r="U7" s="9" t="s">
        <v>483</v>
      </c>
      <c r="V7" s="85">
        <v>3</v>
      </c>
      <c r="W7" s="86">
        <v>2000</v>
      </c>
      <c r="X7" s="85">
        <v>15</v>
      </c>
      <c r="Y7" s="85">
        <v>11.7</v>
      </c>
      <c r="Z7" s="86">
        <v>2300</v>
      </c>
      <c r="AA7" s="85">
        <v>15</v>
      </c>
      <c r="AB7" s="38"/>
      <c r="AC7" s="85"/>
      <c r="AD7" s="87">
        <v>22</v>
      </c>
      <c r="AE7" s="88">
        <v>52</v>
      </c>
      <c r="AF7" s="78" t="s">
        <v>476</v>
      </c>
      <c r="AI7" s="9" t="s">
        <v>238</v>
      </c>
      <c r="AJ7" s="9">
        <v>20</v>
      </c>
      <c r="AK7" s="9">
        <v>30</v>
      </c>
      <c r="AL7" s="16">
        <v>50.93</v>
      </c>
      <c r="AM7" s="9">
        <v>38</v>
      </c>
    </row>
    <row r="8" spans="1:39" ht="19.8" x14ac:dyDescent="0.3">
      <c r="A8" s="4" t="s">
        <v>21</v>
      </c>
      <c r="B8" s="15">
        <f>INDEX($K$2:$S$187,MATCH($B$7,$K$2:$K$187),2)</f>
        <v>20</v>
      </c>
      <c r="C8" s="9" t="s">
        <v>19</v>
      </c>
      <c r="K8" s="78" t="s">
        <v>291</v>
      </c>
      <c r="L8" s="79">
        <v>30</v>
      </c>
      <c r="M8" s="79">
        <v>9</v>
      </c>
      <c r="N8" s="79"/>
      <c r="O8" s="79">
        <v>9951</v>
      </c>
      <c r="P8" s="79">
        <v>17760</v>
      </c>
      <c r="Q8" s="79"/>
      <c r="R8" s="79">
        <v>80</v>
      </c>
      <c r="S8" s="78" t="s">
        <v>286</v>
      </c>
      <c r="T8" s="89" t="s">
        <v>484</v>
      </c>
      <c r="U8" s="9" t="s">
        <v>242</v>
      </c>
      <c r="V8" s="85">
        <v>0.4</v>
      </c>
      <c r="W8" s="86">
        <v>3000</v>
      </c>
      <c r="X8" s="85">
        <v>1.274</v>
      </c>
      <c r="Y8" s="85">
        <v>2</v>
      </c>
      <c r="Z8" s="86">
        <v>4000</v>
      </c>
      <c r="AA8" s="85">
        <v>3.8220000000000001</v>
      </c>
      <c r="AB8" s="38">
        <v>6</v>
      </c>
      <c r="AC8" s="85">
        <v>2</v>
      </c>
      <c r="AD8" s="87">
        <v>14</v>
      </c>
      <c r="AE8" s="88">
        <v>27</v>
      </c>
      <c r="AF8" s="78" t="s">
        <v>485</v>
      </c>
      <c r="AI8" s="9" t="s">
        <v>236</v>
      </c>
      <c r="AJ8" s="9">
        <v>21</v>
      </c>
      <c r="AK8" s="9">
        <v>25</v>
      </c>
      <c r="AL8" s="16">
        <v>53.48</v>
      </c>
      <c r="AM8" s="9">
        <v>33</v>
      </c>
    </row>
    <row r="9" spans="1:39" ht="18.600000000000001" x14ac:dyDescent="0.4">
      <c r="A9" s="5" t="s">
        <v>12</v>
      </c>
      <c r="B9" s="15">
        <f>INDEX($K$2:$S$187,MATCH($B$7,$K$2:$K$187),3)</f>
        <v>10</v>
      </c>
      <c r="C9" s="9" t="s">
        <v>17</v>
      </c>
      <c r="K9" s="78" t="s">
        <v>292</v>
      </c>
      <c r="L9" s="79">
        <v>30</v>
      </c>
      <c r="M9" s="79">
        <v>12</v>
      </c>
      <c r="N9" s="79"/>
      <c r="O9" s="79">
        <v>10878</v>
      </c>
      <c r="P9" s="79">
        <v>18480</v>
      </c>
      <c r="Q9" s="79"/>
      <c r="R9" s="79">
        <v>80</v>
      </c>
      <c r="S9" s="78" t="s">
        <v>286</v>
      </c>
      <c r="T9" s="89" t="s">
        <v>486</v>
      </c>
      <c r="U9" s="9" t="s">
        <v>242</v>
      </c>
      <c r="V9" s="85">
        <v>0.4</v>
      </c>
      <c r="W9" s="86">
        <v>2000</v>
      </c>
      <c r="X9" s="85">
        <v>1.9</v>
      </c>
      <c r="Y9" s="85">
        <v>2.5</v>
      </c>
      <c r="Z9" s="86">
        <v>4000</v>
      </c>
      <c r="AA9" s="85">
        <v>5.7</v>
      </c>
      <c r="AB9" s="38">
        <v>7.5</v>
      </c>
      <c r="AC9" s="85">
        <v>3</v>
      </c>
      <c r="AD9" s="87">
        <v>14</v>
      </c>
      <c r="AE9" s="88">
        <v>30</v>
      </c>
      <c r="AF9" s="78" t="s">
        <v>485</v>
      </c>
      <c r="AI9" s="9" t="s">
        <v>233</v>
      </c>
      <c r="AJ9" s="9">
        <v>21</v>
      </c>
      <c r="AK9" s="9">
        <v>30</v>
      </c>
      <c r="AL9" s="16">
        <v>53.48</v>
      </c>
      <c r="AM9" s="9">
        <v>38</v>
      </c>
    </row>
    <row r="10" spans="1:39" ht="18.600000000000001" x14ac:dyDescent="0.3">
      <c r="A10" s="4" t="s">
        <v>279</v>
      </c>
      <c r="B10" s="15">
        <f>INDEX($K$2:$S$187,MATCH($B$7,$K$2:$K$187),5)</f>
        <v>2560</v>
      </c>
      <c r="C10" s="9" t="s">
        <v>40</v>
      </c>
      <c r="K10" s="78" t="s">
        <v>293</v>
      </c>
      <c r="L10" s="79">
        <v>30</v>
      </c>
      <c r="M10" s="79">
        <v>18</v>
      </c>
      <c r="N10" s="79"/>
      <c r="O10" s="79">
        <v>11647</v>
      </c>
      <c r="P10" s="79">
        <v>18017</v>
      </c>
      <c r="Q10" s="79"/>
      <c r="R10" s="79">
        <v>80</v>
      </c>
      <c r="S10" s="78" t="s">
        <v>286</v>
      </c>
      <c r="T10" s="89" t="s">
        <v>487</v>
      </c>
      <c r="U10" s="9" t="s">
        <v>242</v>
      </c>
      <c r="V10" s="85">
        <v>0.6</v>
      </c>
      <c r="W10" s="86">
        <v>2000</v>
      </c>
      <c r="X10" s="85">
        <v>2.84</v>
      </c>
      <c r="Y10" s="85">
        <v>3.2</v>
      </c>
      <c r="Z10" s="86">
        <v>4000</v>
      </c>
      <c r="AA10" s="85">
        <v>8.52</v>
      </c>
      <c r="AB10" s="38">
        <v>9</v>
      </c>
      <c r="AC10" s="85">
        <v>4</v>
      </c>
      <c r="AD10" s="87">
        <v>16</v>
      </c>
      <c r="AE10" s="88">
        <v>30</v>
      </c>
      <c r="AF10" s="78" t="s">
        <v>485</v>
      </c>
      <c r="AI10" s="9" t="s">
        <v>231</v>
      </c>
      <c r="AJ10" s="9">
        <v>22</v>
      </c>
      <c r="AK10" s="9">
        <v>25</v>
      </c>
      <c r="AL10" s="16">
        <v>56.02</v>
      </c>
      <c r="AM10" s="9">
        <v>33</v>
      </c>
    </row>
    <row r="11" spans="1:39" ht="18.600000000000001" x14ac:dyDescent="0.3">
      <c r="A11" s="9" t="s">
        <v>280</v>
      </c>
      <c r="B11" s="15">
        <f>INDEX($K$2:$S$187,MATCH($B$7,$K$2:$K$187),6)</f>
        <v>5530</v>
      </c>
      <c r="C11" s="9" t="s">
        <v>40</v>
      </c>
      <c r="K11" s="78" t="s">
        <v>294</v>
      </c>
      <c r="L11" s="79">
        <v>30</v>
      </c>
      <c r="M11" s="79">
        <v>24</v>
      </c>
      <c r="N11" s="79"/>
      <c r="O11" s="79">
        <v>12612</v>
      </c>
      <c r="P11" s="79">
        <v>18814</v>
      </c>
      <c r="Q11" s="79"/>
      <c r="R11" s="79">
        <v>80</v>
      </c>
      <c r="S11" s="78" t="s">
        <v>286</v>
      </c>
      <c r="T11" s="89" t="s">
        <v>488</v>
      </c>
      <c r="U11" s="9" t="s">
        <v>242</v>
      </c>
      <c r="V11" s="85">
        <v>1</v>
      </c>
      <c r="W11" s="86">
        <v>2000</v>
      </c>
      <c r="X11" s="85">
        <v>4.8</v>
      </c>
      <c r="Y11" s="85">
        <v>5.2</v>
      </c>
      <c r="Z11" s="86">
        <v>4000</v>
      </c>
      <c r="AA11" s="85">
        <v>14.4</v>
      </c>
      <c r="AB11" s="38">
        <v>15.6</v>
      </c>
      <c r="AC11" s="85">
        <v>6</v>
      </c>
      <c r="AD11" s="87">
        <v>16</v>
      </c>
      <c r="AE11" s="88">
        <v>30</v>
      </c>
      <c r="AF11" s="78" t="s">
        <v>485</v>
      </c>
      <c r="AI11" s="9" t="s">
        <v>229</v>
      </c>
      <c r="AJ11" s="9">
        <v>22</v>
      </c>
      <c r="AK11" s="9">
        <v>30</v>
      </c>
      <c r="AL11" s="16">
        <v>56.02</v>
      </c>
      <c r="AM11" s="9">
        <v>38</v>
      </c>
    </row>
    <row r="12" spans="1:39" ht="16.2" x14ac:dyDescent="0.3">
      <c r="A12" s="4" t="s">
        <v>228</v>
      </c>
      <c r="B12" s="15">
        <f>INDEX($K$2:$S$187,MATCH($B$7,$K$2:$K$187),7)</f>
        <v>47</v>
      </c>
      <c r="C12" s="9" t="s">
        <v>227</v>
      </c>
      <c r="K12" s="78" t="s">
        <v>295</v>
      </c>
      <c r="L12" s="79">
        <v>39</v>
      </c>
      <c r="M12" s="79">
        <v>10</v>
      </c>
      <c r="N12" s="79"/>
      <c r="O12" s="79">
        <v>15573</v>
      </c>
      <c r="P12" s="79">
        <v>27646</v>
      </c>
      <c r="Q12" s="79"/>
      <c r="R12" s="79">
        <v>100</v>
      </c>
      <c r="S12" s="78" t="s">
        <v>286</v>
      </c>
      <c r="T12" s="89" t="s">
        <v>252</v>
      </c>
      <c r="U12" s="9" t="s">
        <v>242</v>
      </c>
      <c r="V12" s="85">
        <v>3</v>
      </c>
      <c r="W12" s="86">
        <v>3000</v>
      </c>
      <c r="X12" s="85">
        <v>14.3</v>
      </c>
      <c r="Y12" s="85">
        <v>10</v>
      </c>
      <c r="Z12" s="86">
        <v>4000</v>
      </c>
      <c r="AA12" s="85">
        <v>42.9</v>
      </c>
      <c r="AB12" s="38"/>
      <c r="AC12" s="85">
        <v>13</v>
      </c>
      <c r="AD12" s="87">
        <v>28</v>
      </c>
      <c r="AE12" s="88">
        <v>51</v>
      </c>
      <c r="AF12" s="78" t="s">
        <v>485</v>
      </c>
      <c r="AI12" s="9" t="s">
        <v>225</v>
      </c>
      <c r="AJ12" s="9">
        <v>24</v>
      </c>
      <c r="AK12" s="9">
        <v>25</v>
      </c>
      <c r="AL12" s="16">
        <v>61.12</v>
      </c>
      <c r="AM12" s="9">
        <v>33</v>
      </c>
    </row>
    <row r="13" spans="1:39" ht="16.2" x14ac:dyDescent="0.3">
      <c r="A13" s="4" t="s">
        <v>224</v>
      </c>
      <c r="B13" s="15">
        <f>INDEX($K$2:$S$187,MATCH($B$7,$K$2:$K$187),8)</f>
        <v>62</v>
      </c>
      <c r="C13" s="9" t="s">
        <v>19</v>
      </c>
      <c r="K13" s="78" t="s">
        <v>296</v>
      </c>
      <c r="L13" s="79">
        <v>39</v>
      </c>
      <c r="M13" s="79">
        <v>20</v>
      </c>
      <c r="N13" s="79"/>
      <c r="O13" s="79">
        <v>17635</v>
      </c>
      <c r="P13" s="79">
        <v>26621</v>
      </c>
      <c r="Q13" s="79"/>
      <c r="R13" s="79">
        <v>100</v>
      </c>
      <c r="S13" s="78" t="s">
        <v>286</v>
      </c>
      <c r="T13" s="89" t="s">
        <v>249</v>
      </c>
      <c r="U13" s="9" t="s">
        <v>242</v>
      </c>
      <c r="V13" s="85">
        <v>3</v>
      </c>
      <c r="W13" s="86">
        <v>3000</v>
      </c>
      <c r="X13" s="85">
        <v>14.3</v>
      </c>
      <c r="Y13" s="85">
        <v>6.7</v>
      </c>
      <c r="Z13" s="86">
        <v>4000</v>
      </c>
      <c r="AA13" s="85">
        <v>42.9</v>
      </c>
      <c r="AB13" s="38"/>
      <c r="AC13" s="85">
        <v>13</v>
      </c>
      <c r="AD13" s="87">
        <v>28</v>
      </c>
      <c r="AE13" s="88">
        <v>51</v>
      </c>
      <c r="AF13" s="78" t="s">
        <v>485</v>
      </c>
      <c r="AI13" s="9" t="s">
        <v>222</v>
      </c>
      <c r="AJ13" s="9">
        <v>24</v>
      </c>
      <c r="AK13" s="9">
        <v>30</v>
      </c>
      <c r="AL13" s="16">
        <v>61.12</v>
      </c>
      <c r="AM13" s="9">
        <v>38</v>
      </c>
    </row>
    <row r="14" spans="1:39" ht="16.2" x14ac:dyDescent="0.3">
      <c r="A14" s="4" t="s">
        <v>20</v>
      </c>
      <c r="B14" s="15">
        <f>+B3+B13+200</f>
        <v>462</v>
      </c>
      <c r="C14" s="9" t="s">
        <v>19</v>
      </c>
      <c r="K14" s="78" t="s">
        <v>297</v>
      </c>
      <c r="L14" s="79">
        <v>48</v>
      </c>
      <c r="M14" s="79">
        <v>10</v>
      </c>
      <c r="N14" s="79"/>
      <c r="O14" s="79">
        <v>23627</v>
      </c>
      <c r="P14" s="79">
        <v>48481</v>
      </c>
      <c r="Q14" s="79"/>
      <c r="R14" s="79">
        <v>127</v>
      </c>
      <c r="S14" s="78" t="s">
        <v>286</v>
      </c>
      <c r="T14" s="89" t="s">
        <v>239</v>
      </c>
      <c r="U14" s="9" t="s">
        <v>210</v>
      </c>
      <c r="V14" s="85">
        <v>1</v>
      </c>
      <c r="W14" s="86">
        <v>3000</v>
      </c>
      <c r="X14" s="85">
        <v>3.18</v>
      </c>
      <c r="Y14" s="85">
        <v>6.1</v>
      </c>
      <c r="Z14" s="86">
        <v>5175</v>
      </c>
      <c r="AA14" s="85">
        <v>7.95</v>
      </c>
      <c r="AB14" s="38">
        <v>18</v>
      </c>
      <c r="AC14" s="85">
        <v>6</v>
      </c>
      <c r="AD14" s="87">
        <v>24</v>
      </c>
      <c r="AE14" s="88">
        <v>40</v>
      </c>
      <c r="AF14" s="78" t="s">
        <v>489</v>
      </c>
      <c r="AI14" s="9" t="s">
        <v>220</v>
      </c>
      <c r="AJ14" s="9">
        <v>25</v>
      </c>
      <c r="AK14" s="9">
        <v>25</v>
      </c>
      <c r="AL14" s="16">
        <v>63.66</v>
      </c>
      <c r="AM14" s="9">
        <v>33</v>
      </c>
    </row>
    <row r="15" spans="1:39" ht="19.8" x14ac:dyDescent="0.3">
      <c r="A15" s="4" t="s">
        <v>22</v>
      </c>
      <c r="B15" s="16">
        <f>ROUND(0.25*B8^2*PI()*B14*7850/1000000000,2)</f>
        <v>1.1399999999999999</v>
      </c>
      <c r="C15" s="15" t="s">
        <v>18</v>
      </c>
      <c r="K15" s="78" t="s">
        <v>298</v>
      </c>
      <c r="L15" s="79">
        <v>48</v>
      </c>
      <c r="M15" s="79">
        <v>20</v>
      </c>
      <c r="N15" s="79"/>
      <c r="O15" s="79">
        <v>27111</v>
      </c>
      <c r="P15" s="79">
        <v>47170</v>
      </c>
      <c r="Q15" s="79"/>
      <c r="R15" s="79">
        <v>127</v>
      </c>
      <c r="S15" s="78" t="s">
        <v>286</v>
      </c>
      <c r="T15" s="89" t="s">
        <v>237</v>
      </c>
      <c r="U15" s="9" t="s">
        <v>210</v>
      </c>
      <c r="V15" s="85">
        <v>1.5</v>
      </c>
      <c r="W15" s="86">
        <v>3000</v>
      </c>
      <c r="X15" s="85">
        <v>4.78</v>
      </c>
      <c r="Y15" s="85">
        <v>8.8000000000000007</v>
      </c>
      <c r="Z15" s="86">
        <v>5175</v>
      </c>
      <c r="AA15" s="85">
        <v>11.9</v>
      </c>
      <c r="AB15" s="38">
        <v>23</v>
      </c>
      <c r="AC15" s="85">
        <v>7</v>
      </c>
      <c r="AD15" s="87">
        <v>24</v>
      </c>
      <c r="AE15" s="88">
        <v>40</v>
      </c>
      <c r="AF15" s="78" t="s">
        <v>489</v>
      </c>
      <c r="AI15" s="9" t="s">
        <v>218</v>
      </c>
      <c r="AJ15" s="9">
        <v>25</v>
      </c>
      <c r="AK15" s="9">
        <v>30</v>
      </c>
      <c r="AL15" s="16">
        <v>63.66</v>
      </c>
      <c r="AM15" s="9">
        <v>38</v>
      </c>
    </row>
    <row r="16" spans="1:39" ht="16.2" x14ac:dyDescent="0.3">
      <c r="A16" s="4"/>
      <c r="B16" s="15"/>
      <c r="K16" s="78" t="s">
        <v>299</v>
      </c>
      <c r="L16" s="79">
        <v>56</v>
      </c>
      <c r="M16" s="79">
        <v>12</v>
      </c>
      <c r="N16" s="79"/>
      <c r="O16" s="79">
        <v>21650</v>
      </c>
      <c r="P16" s="79">
        <v>44196</v>
      </c>
      <c r="Q16" s="79"/>
      <c r="R16" s="79">
        <v>112</v>
      </c>
      <c r="S16" s="78" t="s">
        <v>286</v>
      </c>
      <c r="T16" s="89" t="s">
        <v>235</v>
      </c>
      <c r="U16" s="9" t="s">
        <v>234</v>
      </c>
      <c r="V16" s="85">
        <v>2</v>
      </c>
      <c r="W16" s="86">
        <v>3000</v>
      </c>
      <c r="X16" s="85">
        <v>6.37</v>
      </c>
      <c r="Y16" s="85">
        <v>14</v>
      </c>
      <c r="Z16" s="86">
        <v>5175</v>
      </c>
      <c r="AA16" s="85">
        <v>15.9</v>
      </c>
      <c r="AB16" s="38">
        <v>37</v>
      </c>
      <c r="AC16" s="85">
        <v>8.3000000000000007</v>
      </c>
      <c r="AD16" s="87">
        <v>24</v>
      </c>
      <c r="AE16" s="88">
        <v>40</v>
      </c>
      <c r="AF16" s="78" t="s">
        <v>489</v>
      </c>
      <c r="AI16" s="9" t="s">
        <v>215</v>
      </c>
      <c r="AJ16" s="9">
        <v>26</v>
      </c>
      <c r="AK16" s="9">
        <v>25</v>
      </c>
      <c r="AL16" s="16">
        <v>66.209999999999994</v>
      </c>
      <c r="AM16" s="9">
        <v>33</v>
      </c>
    </row>
    <row r="17" spans="1:39" ht="17.399999999999999" x14ac:dyDescent="0.3">
      <c r="A17" s="55" t="s">
        <v>214</v>
      </c>
      <c r="B17" s="54">
        <v>0.2</v>
      </c>
      <c r="C17" s="24" t="s">
        <v>213</v>
      </c>
      <c r="D17" s="53">
        <f>+B17*9.81</f>
        <v>1.9620000000000002</v>
      </c>
      <c r="E17" s="9" t="s">
        <v>212</v>
      </c>
      <c r="F17" s="15">
        <f>+D17*1000</f>
        <v>1962.0000000000002</v>
      </c>
      <c r="G17" s="9" t="s">
        <v>211</v>
      </c>
      <c r="K17" s="78" t="s">
        <v>300</v>
      </c>
      <c r="L17" s="79">
        <v>56</v>
      </c>
      <c r="M17" s="79">
        <v>24</v>
      </c>
      <c r="N17" s="79"/>
      <c r="O17" s="79">
        <v>24716</v>
      </c>
      <c r="P17" s="79">
        <v>42770</v>
      </c>
      <c r="Q17" s="79"/>
      <c r="R17" s="79">
        <v>112</v>
      </c>
      <c r="S17" s="78" t="s">
        <v>286</v>
      </c>
      <c r="T17" s="89" t="s">
        <v>232</v>
      </c>
      <c r="U17" s="9" t="s">
        <v>210</v>
      </c>
      <c r="V17" s="85">
        <v>1.5</v>
      </c>
      <c r="W17" s="86">
        <v>2000</v>
      </c>
      <c r="X17" s="85">
        <v>7.16</v>
      </c>
      <c r="Y17" s="85">
        <v>8</v>
      </c>
      <c r="Z17" s="86">
        <v>3450</v>
      </c>
      <c r="AA17" s="85">
        <v>21.5</v>
      </c>
      <c r="AB17" s="38">
        <v>24</v>
      </c>
      <c r="AC17" s="85">
        <v>10.3</v>
      </c>
      <c r="AD17" s="87">
        <v>24</v>
      </c>
      <c r="AE17" s="88">
        <v>50</v>
      </c>
      <c r="AF17" s="78" t="s">
        <v>489</v>
      </c>
      <c r="AI17" s="9" t="s">
        <v>209</v>
      </c>
      <c r="AJ17" s="9">
        <v>26</v>
      </c>
      <c r="AK17" s="9">
        <v>30</v>
      </c>
      <c r="AL17" s="16">
        <v>66.209999999999994</v>
      </c>
      <c r="AM17" s="9">
        <v>38</v>
      </c>
    </row>
    <row r="18" spans="1:39" ht="16.2" x14ac:dyDescent="0.3">
      <c r="A18" s="4" t="s">
        <v>208</v>
      </c>
      <c r="K18" s="78" t="s">
        <v>301</v>
      </c>
      <c r="L18" s="79">
        <v>60</v>
      </c>
      <c r="M18" s="79">
        <v>10</v>
      </c>
      <c r="N18" s="79"/>
      <c r="O18" s="79">
        <v>34548</v>
      </c>
      <c r="P18" s="79">
        <v>79560</v>
      </c>
      <c r="Q18" s="79"/>
      <c r="R18" s="79">
        <v>152</v>
      </c>
      <c r="S18" s="78" t="s">
        <v>286</v>
      </c>
      <c r="T18" s="89" t="s">
        <v>230</v>
      </c>
      <c r="U18" s="9" t="s">
        <v>216</v>
      </c>
      <c r="V18" s="85">
        <v>5</v>
      </c>
      <c r="W18" s="86">
        <v>3000</v>
      </c>
      <c r="X18" s="85">
        <v>15.9</v>
      </c>
      <c r="Y18" s="85">
        <v>28</v>
      </c>
      <c r="Z18" s="86">
        <v>5175</v>
      </c>
      <c r="AA18" s="85">
        <v>39.700000000000003</v>
      </c>
      <c r="AB18" s="38">
        <v>70</v>
      </c>
      <c r="AC18" s="85">
        <v>21</v>
      </c>
      <c r="AD18" s="87">
        <v>28</v>
      </c>
      <c r="AE18" s="88">
        <v>58</v>
      </c>
      <c r="AF18" s="78" t="s">
        <v>489</v>
      </c>
      <c r="AI18" s="9" t="s">
        <v>206</v>
      </c>
      <c r="AJ18" s="9">
        <v>28</v>
      </c>
      <c r="AK18" s="9">
        <v>25</v>
      </c>
      <c r="AL18" s="16">
        <v>71.3</v>
      </c>
      <c r="AM18" s="9">
        <v>33</v>
      </c>
    </row>
    <row r="19" spans="1:39" ht="16.2" x14ac:dyDescent="0.3">
      <c r="A19" s="4" t="s">
        <v>205</v>
      </c>
      <c r="K19" s="78" t="s">
        <v>302</v>
      </c>
      <c r="L19" s="79">
        <v>60</v>
      </c>
      <c r="M19" s="79">
        <v>20</v>
      </c>
      <c r="N19" s="79"/>
      <c r="O19" s="79">
        <v>40303</v>
      </c>
      <c r="P19" s="79">
        <v>80169</v>
      </c>
      <c r="Q19" s="79"/>
      <c r="R19" s="79">
        <v>152</v>
      </c>
      <c r="S19" s="78" t="s">
        <v>286</v>
      </c>
      <c r="T19" s="89" t="s">
        <v>226</v>
      </c>
      <c r="U19" s="9" t="s">
        <v>210</v>
      </c>
      <c r="V19" s="85">
        <v>3.5</v>
      </c>
      <c r="W19" s="86">
        <v>2000</v>
      </c>
      <c r="X19" s="85">
        <v>16.7</v>
      </c>
      <c r="Y19" s="85">
        <v>16</v>
      </c>
      <c r="Z19" s="86">
        <v>3450</v>
      </c>
      <c r="AA19" s="85">
        <v>50.1</v>
      </c>
      <c r="AB19" s="38">
        <v>48</v>
      </c>
      <c r="AC19" s="85">
        <v>25</v>
      </c>
      <c r="AD19" s="87">
        <v>35</v>
      </c>
      <c r="AE19" s="88">
        <v>75</v>
      </c>
      <c r="AF19" s="78" t="s">
        <v>489</v>
      </c>
      <c r="AI19" s="9" t="s">
        <v>203</v>
      </c>
      <c r="AJ19" s="9">
        <v>28</v>
      </c>
      <c r="AK19" s="9">
        <v>30</v>
      </c>
      <c r="AL19" s="16">
        <v>71.3</v>
      </c>
      <c r="AM19" s="9">
        <v>38</v>
      </c>
    </row>
    <row r="20" spans="1:39" ht="17.399999999999999" x14ac:dyDescent="0.3">
      <c r="A20" s="4" t="s">
        <v>202</v>
      </c>
      <c r="K20" s="78" t="s">
        <v>303</v>
      </c>
      <c r="L20" s="79">
        <v>64</v>
      </c>
      <c r="M20" s="79">
        <v>12</v>
      </c>
      <c r="N20" s="79"/>
      <c r="O20" s="79">
        <v>30243</v>
      </c>
      <c r="P20" s="79">
        <v>77888</v>
      </c>
      <c r="Q20" s="79"/>
      <c r="R20" s="79">
        <v>129</v>
      </c>
      <c r="S20" s="78" t="s">
        <v>286</v>
      </c>
      <c r="T20" s="89" t="s">
        <v>223</v>
      </c>
      <c r="U20" s="9" t="s">
        <v>210</v>
      </c>
      <c r="V20" s="85">
        <v>1.5</v>
      </c>
      <c r="W20" s="86">
        <v>2000</v>
      </c>
      <c r="X20" s="85">
        <v>7.16</v>
      </c>
      <c r="Y20" s="85">
        <v>8</v>
      </c>
      <c r="Z20" s="86">
        <v>3450</v>
      </c>
      <c r="AA20" s="85">
        <v>21.5</v>
      </c>
      <c r="AB20" s="38">
        <v>24</v>
      </c>
      <c r="AC20" s="85">
        <v>10.3</v>
      </c>
      <c r="AD20" s="87">
        <v>24</v>
      </c>
      <c r="AE20" s="88">
        <v>50</v>
      </c>
      <c r="AF20" s="78" t="s">
        <v>489</v>
      </c>
      <c r="AI20" s="9" t="s">
        <v>200</v>
      </c>
      <c r="AJ20" s="9">
        <v>30</v>
      </c>
      <c r="AK20" s="9">
        <v>15</v>
      </c>
      <c r="AL20" s="16">
        <v>28.65</v>
      </c>
      <c r="AM20" s="9">
        <v>21</v>
      </c>
    </row>
    <row r="21" spans="1:39" x14ac:dyDescent="0.3">
      <c r="K21" s="78" t="s">
        <v>304</v>
      </c>
      <c r="L21" s="79">
        <v>64</v>
      </c>
      <c r="M21" s="79">
        <v>24</v>
      </c>
      <c r="N21" s="79"/>
      <c r="O21" s="79">
        <v>33564</v>
      </c>
      <c r="P21" s="79">
        <v>70369</v>
      </c>
      <c r="Q21" s="79"/>
      <c r="R21" s="79">
        <v>129</v>
      </c>
      <c r="S21" s="78" t="s">
        <v>286</v>
      </c>
      <c r="T21" s="89" t="s">
        <v>221</v>
      </c>
      <c r="U21" s="9" t="s">
        <v>210</v>
      </c>
      <c r="V21" s="85">
        <v>7</v>
      </c>
      <c r="W21" s="86">
        <v>2000</v>
      </c>
      <c r="X21" s="85">
        <v>33.4</v>
      </c>
      <c r="Y21" s="85">
        <v>33</v>
      </c>
      <c r="Z21" s="86">
        <v>3450</v>
      </c>
      <c r="AA21" s="85">
        <v>100</v>
      </c>
      <c r="AB21" s="38">
        <v>99</v>
      </c>
      <c r="AC21" s="85">
        <v>38</v>
      </c>
      <c r="AD21" s="87">
        <v>35</v>
      </c>
      <c r="AE21" s="88">
        <v>75</v>
      </c>
      <c r="AF21" s="78" t="s">
        <v>489</v>
      </c>
      <c r="AI21" s="9" t="s">
        <v>198</v>
      </c>
      <c r="AJ21" s="9">
        <v>30</v>
      </c>
      <c r="AK21" s="9">
        <v>25</v>
      </c>
      <c r="AL21" s="16">
        <v>76.39</v>
      </c>
      <c r="AM21" s="9">
        <v>33</v>
      </c>
    </row>
    <row r="22" spans="1:39" ht="17.399999999999999" x14ac:dyDescent="0.3">
      <c r="A22" s="4" t="s">
        <v>197</v>
      </c>
      <c r="B22" s="45">
        <f>+F17/B9</f>
        <v>196.20000000000002</v>
      </c>
      <c r="C22" s="9" t="s">
        <v>196</v>
      </c>
      <c r="D22" s="15">
        <f>+ROUND(B22*2*PI(),0)</f>
        <v>1233</v>
      </c>
      <c r="E22" s="9" t="s">
        <v>16</v>
      </c>
      <c r="K22" s="78" t="s">
        <v>305</v>
      </c>
      <c r="L22" s="79">
        <v>75</v>
      </c>
      <c r="M22" s="79">
        <v>10</v>
      </c>
      <c r="N22" s="79"/>
      <c r="O22" s="79">
        <v>51516</v>
      </c>
      <c r="P22" s="79">
        <v>151702</v>
      </c>
      <c r="Q22" s="79"/>
      <c r="R22" s="79">
        <v>191</v>
      </c>
      <c r="S22" s="78" t="s">
        <v>286</v>
      </c>
      <c r="T22" s="89" t="s">
        <v>219</v>
      </c>
      <c r="U22" s="9" t="s">
        <v>210</v>
      </c>
      <c r="V22" s="85">
        <v>3.5</v>
      </c>
      <c r="W22" s="86">
        <v>2000</v>
      </c>
      <c r="X22" s="85">
        <v>16.7</v>
      </c>
      <c r="Y22" s="85">
        <v>16</v>
      </c>
      <c r="Z22" s="86">
        <v>3450</v>
      </c>
      <c r="AA22" s="85">
        <v>50.1</v>
      </c>
      <c r="AB22" s="38">
        <v>48</v>
      </c>
      <c r="AC22" s="85">
        <v>25</v>
      </c>
      <c r="AD22" s="87">
        <v>35</v>
      </c>
      <c r="AE22" s="88">
        <v>75</v>
      </c>
      <c r="AF22" s="78" t="s">
        <v>489</v>
      </c>
      <c r="AI22" s="9" t="s">
        <v>194</v>
      </c>
      <c r="AJ22" s="9">
        <v>30</v>
      </c>
      <c r="AK22" s="9">
        <v>30</v>
      </c>
      <c r="AL22" s="16">
        <v>76.39</v>
      </c>
      <c r="AM22" s="9">
        <v>38</v>
      </c>
    </row>
    <row r="23" spans="1:39" ht="16.2" x14ac:dyDescent="0.3">
      <c r="A23" s="52" t="s">
        <v>193</v>
      </c>
      <c r="B23" s="51">
        <v>0.01</v>
      </c>
      <c r="C23" s="51" t="s">
        <v>192</v>
      </c>
      <c r="K23" s="78" t="s">
        <v>306</v>
      </c>
      <c r="L23" s="79">
        <v>75</v>
      </c>
      <c r="M23" s="79">
        <v>20</v>
      </c>
      <c r="N23" s="79"/>
      <c r="O23" s="79">
        <v>58394</v>
      </c>
      <c r="P23" s="79">
        <v>152640</v>
      </c>
      <c r="Q23" s="79"/>
      <c r="R23" s="79">
        <v>191</v>
      </c>
      <c r="S23" s="78" t="s">
        <v>286</v>
      </c>
      <c r="T23" s="89" t="s">
        <v>217</v>
      </c>
      <c r="U23" s="9" t="s">
        <v>216</v>
      </c>
      <c r="V23" s="85">
        <v>3.5</v>
      </c>
      <c r="W23" s="86">
        <v>3000</v>
      </c>
      <c r="X23" s="85">
        <v>11.1</v>
      </c>
      <c r="Y23" s="85">
        <v>23</v>
      </c>
      <c r="Z23" s="86">
        <v>5175</v>
      </c>
      <c r="AA23" s="85">
        <v>27.9</v>
      </c>
      <c r="AB23" s="38">
        <v>58</v>
      </c>
      <c r="AC23" s="85">
        <v>15</v>
      </c>
      <c r="AD23" s="87">
        <v>28</v>
      </c>
      <c r="AE23" s="88">
        <v>58</v>
      </c>
      <c r="AF23" s="78" t="s">
        <v>489</v>
      </c>
      <c r="AI23" s="9" t="s">
        <v>190</v>
      </c>
      <c r="AJ23" s="9">
        <v>32</v>
      </c>
      <c r="AK23" s="9">
        <v>25</v>
      </c>
      <c r="AL23" s="16">
        <v>81.489999999999995</v>
      </c>
      <c r="AM23" s="9">
        <v>33</v>
      </c>
    </row>
    <row r="24" spans="1:39" ht="16.2" x14ac:dyDescent="0.3">
      <c r="A24" s="4" t="s">
        <v>189</v>
      </c>
      <c r="B24" s="50">
        <v>0.2</v>
      </c>
      <c r="C24" s="9" t="s">
        <v>108</v>
      </c>
      <c r="D24" s="11">
        <f>+B24*1000</f>
        <v>200</v>
      </c>
      <c r="E24" s="9" t="s">
        <v>109</v>
      </c>
      <c r="F24" s="48">
        <f>+B24*60</f>
        <v>12</v>
      </c>
      <c r="G24" s="9" t="s">
        <v>110</v>
      </c>
      <c r="H24" s="15">
        <f>+D24*60</f>
        <v>12000</v>
      </c>
      <c r="I24" s="9" t="s">
        <v>111</v>
      </c>
      <c r="K24" s="78" t="s">
        <v>307</v>
      </c>
      <c r="L24" s="79">
        <v>80</v>
      </c>
      <c r="M24" s="79">
        <v>12</v>
      </c>
      <c r="N24" s="79"/>
      <c r="O24" s="79">
        <v>41864</v>
      </c>
      <c r="P24" s="79">
        <v>118690</v>
      </c>
      <c r="Q24" s="79"/>
      <c r="R24" s="79">
        <v>156</v>
      </c>
      <c r="S24" s="78" t="s">
        <v>286</v>
      </c>
      <c r="T24" s="89" t="s">
        <v>490</v>
      </c>
      <c r="U24" s="9" t="s">
        <v>210</v>
      </c>
      <c r="V24" s="85">
        <v>7</v>
      </c>
      <c r="W24" s="86">
        <v>2000</v>
      </c>
      <c r="X24" s="85">
        <v>33.4</v>
      </c>
      <c r="Y24" s="85">
        <v>33</v>
      </c>
      <c r="Z24" s="86">
        <v>3450</v>
      </c>
      <c r="AA24" s="85">
        <v>100</v>
      </c>
      <c r="AB24" s="38">
        <v>99</v>
      </c>
      <c r="AC24" s="85">
        <v>38</v>
      </c>
      <c r="AD24" s="87">
        <v>35</v>
      </c>
      <c r="AE24" s="88">
        <v>75</v>
      </c>
      <c r="AF24" s="78" t="s">
        <v>489</v>
      </c>
      <c r="AI24" s="9" t="s">
        <v>187</v>
      </c>
      <c r="AJ24" s="9">
        <v>32</v>
      </c>
      <c r="AK24" s="9">
        <v>30</v>
      </c>
      <c r="AL24" s="16">
        <v>81.489999999999995</v>
      </c>
      <c r="AM24" s="9">
        <v>38</v>
      </c>
    </row>
    <row r="25" spans="1:39" x14ac:dyDescent="0.3">
      <c r="K25" s="78" t="s">
        <v>308</v>
      </c>
      <c r="L25" s="79">
        <v>80</v>
      </c>
      <c r="M25" s="79">
        <v>18</v>
      </c>
      <c r="N25" s="79"/>
      <c r="O25" s="79">
        <v>46524</v>
      </c>
      <c r="P25" s="79">
        <v>119146</v>
      </c>
      <c r="Q25" s="79"/>
      <c r="R25" s="79">
        <v>156</v>
      </c>
      <c r="S25" s="78" t="s">
        <v>286</v>
      </c>
      <c r="T25" s="89" t="s">
        <v>491</v>
      </c>
      <c r="U25" s="9" t="s">
        <v>492</v>
      </c>
      <c r="V25" s="85">
        <v>1</v>
      </c>
      <c r="W25" s="86">
        <v>3000</v>
      </c>
      <c r="X25" s="85">
        <v>3.2</v>
      </c>
      <c r="Y25" s="85">
        <v>5.6</v>
      </c>
      <c r="Z25" s="86">
        <v>6000</v>
      </c>
      <c r="AA25" s="85">
        <v>9.6</v>
      </c>
      <c r="AB25" s="38">
        <v>17</v>
      </c>
      <c r="AC25" s="85">
        <v>4.5</v>
      </c>
      <c r="AD25" s="87">
        <v>16</v>
      </c>
      <c r="AE25" s="88">
        <v>30</v>
      </c>
      <c r="AF25" s="78" t="s">
        <v>489</v>
      </c>
      <c r="AI25" s="9" t="s">
        <v>185</v>
      </c>
      <c r="AJ25" s="9">
        <v>34</v>
      </c>
      <c r="AK25" s="9">
        <v>25</v>
      </c>
      <c r="AL25" s="16">
        <v>86.58</v>
      </c>
      <c r="AM25" s="9">
        <v>33</v>
      </c>
    </row>
    <row r="26" spans="1:39" ht="16.2" x14ac:dyDescent="0.3">
      <c r="A26" s="47" t="s">
        <v>184</v>
      </c>
      <c r="B26" s="46" t="s">
        <v>572</v>
      </c>
      <c r="K26" s="78" t="s">
        <v>309</v>
      </c>
      <c r="L26" s="79">
        <v>80</v>
      </c>
      <c r="M26" s="79">
        <v>24</v>
      </c>
      <c r="N26" s="79"/>
      <c r="O26" s="79">
        <v>46816</v>
      </c>
      <c r="P26" s="79">
        <v>119598</v>
      </c>
      <c r="Q26" s="79"/>
      <c r="R26" s="79">
        <v>156</v>
      </c>
      <c r="S26" s="78" t="s">
        <v>286</v>
      </c>
      <c r="T26" s="89" t="s">
        <v>493</v>
      </c>
      <c r="U26" s="9" t="s">
        <v>494</v>
      </c>
      <c r="V26" s="85">
        <v>1.5</v>
      </c>
      <c r="W26" s="86">
        <v>3000</v>
      </c>
      <c r="X26" s="85">
        <v>4.8</v>
      </c>
      <c r="Y26" s="85">
        <v>11</v>
      </c>
      <c r="Z26" s="86">
        <v>6000</v>
      </c>
      <c r="AA26" s="85">
        <v>14.3</v>
      </c>
      <c r="AB26" s="38">
        <v>32</v>
      </c>
      <c r="AC26" s="85">
        <v>5.9</v>
      </c>
      <c r="AD26" s="87">
        <v>16</v>
      </c>
      <c r="AE26" s="88">
        <v>30</v>
      </c>
      <c r="AF26" s="78" t="s">
        <v>489</v>
      </c>
      <c r="AI26" s="9" t="s">
        <v>182</v>
      </c>
      <c r="AJ26" s="9">
        <v>34</v>
      </c>
      <c r="AK26" s="9">
        <v>30</v>
      </c>
      <c r="AL26" s="16">
        <v>86.58</v>
      </c>
      <c r="AM26" s="9">
        <v>38</v>
      </c>
    </row>
    <row r="27" spans="1:39" ht="16.2" x14ac:dyDescent="0.3">
      <c r="A27" s="4" t="s">
        <v>181</v>
      </c>
      <c r="B27" s="49" t="str">
        <f>INDEX($T$2:$AF$137,MATCH($B$26,$T$2:$T$137),2)</f>
        <v>HS200AE</v>
      </c>
      <c r="F27" s="12"/>
      <c r="K27" s="78" t="s">
        <v>310</v>
      </c>
      <c r="L27" s="79">
        <v>99</v>
      </c>
      <c r="M27" s="79">
        <v>20</v>
      </c>
      <c r="N27" s="79"/>
      <c r="O27" s="79">
        <v>94373</v>
      </c>
      <c r="P27" s="79">
        <v>315351</v>
      </c>
      <c r="Q27" s="79"/>
      <c r="R27" s="79">
        <v>260</v>
      </c>
      <c r="S27" s="78" t="s">
        <v>286</v>
      </c>
      <c r="T27" s="89" t="s">
        <v>495</v>
      </c>
      <c r="U27" s="9" t="s">
        <v>494</v>
      </c>
      <c r="V27" s="85">
        <v>2</v>
      </c>
      <c r="W27" s="86">
        <v>3000</v>
      </c>
      <c r="X27" s="85">
        <v>6.4</v>
      </c>
      <c r="Y27" s="85">
        <v>11</v>
      </c>
      <c r="Z27" s="86">
        <v>6000</v>
      </c>
      <c r="AA27" s="85">
        <v>19.100000000000001</v>
      </c>
      <c r="AB27" s="38">
        <v>32</v>
      </c>
      <c r="AC27" s="85">
        <v>7.5</v>
      </c>
      <c r="AD27" s="87">
        <v>16</v>
      </c>
      <c r="AE27" s="88">
        <v>30</v>
      </c>
      <c r="AF27" s="78" t="s">
        <v>489</v>
      </c>
      <c r="AI27" s="9" t="s">
        <v>179</v>
      </c>
      <c r="AJ27" s="9">
        <v>36</v>
      </c>
      <c r="AK27" s="9">
        <v>25</v>
      </c>
      <c r="AL27" s="16">
        <v>91.67</v>
      </c>
      <c r="AM27" s="9">
        <v>33</v>
      </c>
    </row>
    <row r="28" spans="1:39" ht="16.2" x14ac:dyDescent="0.3">
      <c r="A28" s="4" t="s">
        <v>178</v>
      </c>
      <c r="B28" s="45">
        <f>INDEX($T$2:$AF$137,MATCH($B$26,$T$2:$T$137),3)</f>
        <v>2</v>
      </c>
      <c r="C28" s="9" t="s">
        <v>3</v>
      </c>
      <c r="K28" s="78" t="s">
        <v>311</v>
      </c>
      <c r="L28" s="79">
        <v>100</v>
      </c>
      <c r="M28" s="79">
        <v>24</v>
      </c>
      <c r="N28" s="79"/>
      <c r="O28" s="79">
        <v>66919</v>
      </c>
      <c r="P28" s="79">
        <v>186308</v>
      </c>
      <c r="Q28" s="79"/>
      <c r="R28" s="79">
        <v>195</v>
      </c>
      <c r="S28" s="78" t="s">
        <v>286</v>
      </c>
      <c r="T28" s="89" t="s">
        <v>496</v>
      </c>
      <c r="U28" s="9" t="s">
        <v>497</v>
      </c>
      <c r="V28" s="85">
        <v>3.5</v>
      </c>
      <c r="W28" s="86">
        <v>3000</v>
      </c>
      <c r="X28" s="85">
        <v>10.5</v>
      </c>
      <c r="Y28" s="85">
        <v>17</v>
      </c>
      <c r="Z28" s="86">
        <v>6000</v>
      </c>
      <c r="AA28" s="85">
        <v>32</v>
      </c>
      <c r="AB28" s="38">
        <v>51</v>
      </c>
      <c r="AC28" s="85">
        <v>13</v>
      </c>
      <c r="AD28" s="87">
        <v>28</v>
      </c>
      <c r="AE28" s="88">
        <v>50</v>
      </c>
      <c r="AF28" s="78" t="s">
        <v>489</v>
      </c>
      <c r="AI28" s="9" t="s">
        <v>176</v>
      </c>
      <c r="AJ28" s="9">
        <v>36</v>
      </c>
      <c r="AK28" s="9">
        <v>30</v>
      </c>
      <c r="AL28" s="16">
        <v>91.67</v>
      </c>
      <c r="AM28" s="9">
        <v>38</v>
      </c>
    </row>
    <row r="29" spans="1:39" ht="18.600000000000001" x14ac:dyDescent="0.4">
      <c r="A29" s="5" t="s">
        <v>278</v>
      </c>
      <c r="B29" s="16">
        <f>INDEX($T$2:$AF$137,MATCH($B$26,$T$2:$T$137),5)</f>
        <v>6.4</v>
      </c>
      <c r="C29" s="9" t="s">
        <v>13</v>
      </c>
      <c r="K29" s="78" t="s">
        <v>312</v>
      </c>
      <c r="L29" s="79">
        <v>120</v>
      </c>
      <c r="M29" s="79">
        <v>24</v>
      </c>
      <c r="N29" s="80"/>
      <c r="O29" s="79">
        <v>93369</v>
      </c>
      <c r="P29" s="79">
        <v>308883</v>
      </c>
      <c r="Q29" s="79"/>
      <c r="R29" s="79">
        <v>240</v>
      </c>
      <c r="S29" s="78" t="s">
        <v>286</v>
      </c>
      <c r="T29" s="89" t="s">
        <v>498</v>
      </c>
      <c r="U29" s="9" t="s">
        <v>499</v>
      </c>
      <c r="V29" s="85">
        <v>5</v>
      </c>
      <c r="W29" s="86">
        <v>3000</v>
      </c>
      <c r="X29" s="85">
        <v>15.9</v>
      </c>
      <c r="Y29" s="85">
        <v>27</v>
      </c>
      <c r="Z29" s="86">
        <v>6000</v>
      </c>
      <c r="AA29" s="85">
        <v>47.7</v>
      </c>
      <c r="AB29" s="38">
        <v>81</v>
      </c>
      <c r="AC29" s="85">
        <v>18</v>
      </c>
      <c r="AD29" s="87">
        <v>28</v>
      </c>
      <c r="AE29" s="88">
        <v>50</v>
      </c>
      <c r="AF29" s="78" t="s">
        <v>489</v>
      </c>
      <c r="AI29" s="9" t="s">
        <v>174</v>
      </c>
      <c r="AJ29" s="9">
        <v>38</v>
      </c>
      <c r="AK29" s="9">
        <v>25</v>
      </c>
      <c r="AL29" s="16">
        <v>96.77</v>
      </c>
      <c r="AM29" s="9">
        <v>33</v>
      </c>
    </row>
    <row r="30" spans="1:39" ht="16.2" x14ac:dyDescent="0.3">
      <c r="A30" s="4" t="s">
        <v>173</v>
      </c>
      <c r="B30" s="16">
        <f>INDEX($T$2:$AF$137,MATCH($B$26,$T$2:$T$137),8)</f>
        <v>19.2</v>
      </c>
      <c r="C30" s="9" t="s">
        <v>13</v>
      </c>
      <c r="E30" s="48"/>
      <c r="K30" s="78" t="s">
        <v>313</v>
      </c>
      <c r="L30" s="79">
        <v>120</v>
      </c>
      <c r="M30" s="79">
        <v>25</v>
      </c>
      <c r="N30" s="80"/>
      <c r="O30" s="79">
        <v>115044</v>
      </c>
      <c r="P30" s="79">
        <v>412038</v>
      </c>
      <c r="Q30" s="79"/>
      <c r="R30" s="79">
        <v>280</v>
      </c>
      <c r="S30" s="78" t="s">
        <v>286</v>
      </c>
      <c r="T30" s="89" t="s">
        <v>500</v>
      </c>
      <c r="U30" s="9" t="s">
        <v>501</v>
      </c>
      <c r="V30" s="85">
        <v>0.5</v>
      </c>
      <c r="W30" s="86">
        <v>3000</v>
      </c>
      <c r="X30" s="85">
        <v>1.6</v>
      </c>
      <c r="Y30" s="85">
        <v>3</v>
      </c>
      <c r="Z30" s="86">
        <v>6000</v>
      </c>
      <c r="AA30" s="85">
        <v>4.8</v>
      </c>
      <c r="AB30" s="38">
        <v>9</v>
      </c>
      <c r="AC30" s="85">
        <v>3</v>
      </c>
      <c r="AD30" s="87">
        <v>16</v>
      </c>
      <c r="AE30" s="88">
        <v>30</v>
      </c>
      <c r="AF30" s="78" t="s">
        <v>489</v>
      </c>
      <c r="AI30" s="9" t="s">
        <v>171</v>
      </c>
      <c r="AJ30" s="9">
        <v>38</v>
      </c>
      <c r="AK30" s="9">
        <v>30</v>
      </c>
      <c r="AL30" s="16">
        <v>96.77</v>
      </c>
      <c r="AM30" s="9">
        <v>38</v>
      </c>
    </row>
    <row r="31" spans="1:39" ht="18.600000000000001" x14ac:dyDescent="0.4">
      <c r="A31" s="5" t="s">
        <v>277</v>
      </c>
      <c r="B31" s="15">
        <f>INDEX($T$2:$AF$137,MATCH($B$26,$T$2:$T$137),4)</f>
        <v>3000</v>
      </c>
      <c r="C31" s="9" t="s">
        <v>15</v>
      </c>
      <c r="E31" s="48"/>
      <c r="K31" s="78" t="s">
        <v>314</v>
      </c>
      <c r="L31" s="79">
        <v>150</v>
      </c>
      <c r="M31" s="79">
        <v>25</v>
      </c>
      <c r="N31" s="80"/>
      <c r="O31" s="79">
        <v>162911</v>
      </c>
      <c r="P31" s="79">
        <v>695515</v>
      </c>
      <c r="Q31" s="79"/>
      <c r="R31" s="79">
        <v>400</v>
      </c>
      <c r="S31" s="78" t="s">
        <v>286</v>
      </c>
      <c r="T31" s="89" t="s">
        <v>502</v>
      </c>
      <c r="U31" s="9" t="s">
        <v>503</v>
      </c>
      <c r="V31" s="85">
        <v>7</v>
      </c>
      <c r="W31" s="86">
        <v>3000</v>
      </c>
      <c r="X31" s="85">
        <v>22.3</v>
      </c>
      <c r="Y31" s="85">
        <v>34</v>
      </c>
      <c r="Z31" s="86">
        <v>6000</v>
      </c>
      <c r="AA31" s="85">
        <v>66.8</v>
      </c>
      <c r="AB31" s="38">
        <v>103</v>
      </c>
      <c r="AC31" s="85">
        <v>29</v>
      </c>
      <c r="AD31" s="87">
        <v>35</v>
      </c>
      <c r="AE31" s="88">
        <v>75</v>
      </c>
      <c r="AF31" s="78" t="s">
        <v>489</v>
      </c>
      <c r="AI31" s="9" t="s">
        <v>170</v>
      </c>
      <c r="AJ31" s="9">
        <v>40</v>
      </c>
      <c r="AK31" s="9">
        <v>25</v>
      </c>
      <c r="AL31" s="16">
        <v>101.86</v>
      </c>
      <c r="AM31" s="9">
        <v>33</v>
      </c>
    </row>
    <row r="32" spans="1:39" ht="16.2" x14ac:dyDescent="0.3">
      <c r="A32" s="4" t="s">
        <v>169</v>
      </c>
      <c r="B32" s="15">
        <f>INDEX($T$2:$AF$137,MATCH($B$26,$T$2:$T$137),7)</f>
        <v>5000</v>
      </c>
      <c r="C32" s="9" t="s">
        <v>15</v>
      </c>
      <c r="E32" s="48"/>
      <c r="K32" s="78" t="s">
        <v>315</v>
      </c>
      <c r="L32" s="79">
        <v>150</v>
      </c>
      <c r="M32" s="79">
        <v>36</v>
      </c>
      <c r="N32" s="80"/>
      <c r="O32" s="79">
        <v>118053</v>
      </c>
      <c r="P32" s="79">
        <v>419193</v>
      </c>
      <c r="Q32" s="79"/>
      <c r="R32" s="79">
        <v>305</v>
      </c>
      <c r="S32" s="78" t="s">
        <v>286</v>
      </c>
      <c r="T32" s="89" t="s">
        <v>504</v>
      </c>
      <c r="U32" s="9" t="s">
        <v>505</v>
      </c>
      <c r="V32" s="85">
        <v>0.75</v>
      </c>
      <c r="W32" s="86">
        <v>3000</v>
      </c>
      <c r="X32" s="85">
        <v>2.4</v>
      </c>
      <c r="Y32" s="85">
        <v>5.6</v>
      </c>
      <c r="Z32" s="86">
        <v>6000</v>
      </c>
      <c r="AA32" s="85">
        <v>7.2</v>
      </c>
      <c r="AB32" s="38">
        <v>17</v>
      </c>
      <c r="AC32" s="85">
        <v>3.7</v>
      </c>
      <c r="AD32" s="87">
        <v>16</v>
      </c>
      <c r="AE32" s="88">
        <v>30</v>
      </c>
      <c r="AF32" s="78" t="s">
        <v>489</v>
      </c>
      <c r="AI32" s="9" t="s">
        <v>167</v>
      </c>
      <c r="AJ32" s="9">
        <v>40</v>
      </c>
      <c r="AK32" s="9">
        <v>30</v>
      </c>
      <c r="AL32" s="16">
        <v>101.86</v>
      </c>
      <c r="AM32" s="9">
        <v>38</v>
      </c>
    </row>
    <row r="33" spans="1:39" ht="16.2" x14ac:dyDescent="0.3">
      <c r="A33" s="4" t="s">
        <v>166</v>
      </c>
      <c r="B33" s="45">
        <f>INDEX($T$2:$AF$137,MATCH($B$26,$T$2:$T$137),6)</f>
        <v>9.5</v>
      </c>
      <c r="C33" s="9" t="s">
        <v>163</v>
      </c>
      <c r="K33" s="78" t="s">
        <v>316</v>
      </c>
      <c r="L33" s="79">
        <v>180</v>
      </c>
      <c r="M33" s="79">
        <v>30</v>
      </c>
      <c r="N33" s="80"/>
      <c r="O33" s="79">
        <v>200239</v>
      </c>
      <c r="P33" s="79">
        <v>925410</v>
      </c>
      <c r="Q33" s="79"/>
      <c r="R33" s="79">
        <v>515</v>
      </c>
      <c r="S33" s="78" t="s">
        <v>286</v>
      </c>
      <c r="T33" s="89" t="s">
        <v>506</v>
      </c>
      <c r="U33" s="9" t="s">
        <v>507</v>
      </c>
      <c r="V33" s="85">
        <v>9</v>
      </c>
      <c r="W33" s="86">
        <v>3000</v>
      </c>
      <c r="X33" s="85">
        <v>28.6</v>
      </c>
      <c r="Y33" s="85">
        <v>41</v>
      </c>
      <c r="Z33" s="86">
        <v>6000</v>
      </c>
      <c r="AA33" s="85">
        <v>85.8</v>
      </c>
      <c r="AB33" s="38">
        <v>134</v>
      </c>
      <c r="AC33" s="85">
        <v>36</v>
      </c>
      <c r="AD33" s="87">
        <v>35</v>
      </c>
      <c r="AE33" s="88">
        <v>75</v>
      </c>
      <c r="AF33" s="78" t="s">
        <v>489</v>
      </c>
      <c r="AI33" s="9" t="s">
        <v>165</v>
      </c>
      <c r="AJ33" s="9">
        <v>44</v>
      </c>
      <c r="AK33" s="9">
        <v>25</v>
      </c>
      <c r="AL33" s="16">
        <v>112.05</v>
      </c>
      <c r="AM33" s="9">
        <v>33</v>
      </c>
    </row>
    <row r="34" spans="1:39" ht="16.2" x14ac:dyDescent="0.3">
      <c r="A34" s="4" t="s">
        <v>164</v>
      </c>
      <c r="B34" s="45">
        <f>INDEX($T$2:$AF$137,MATCH($B$26,$T$2:$T$137),9)</f>
        <v>0</v>
      </c>
      <c r="C34" s="9" t="s">
        <v>163</v>
      </c>
      <c r="K34" s="78" t="s">
        <v>317</v>
      </c>
      <c r="L34" s="79">
        <v>210</v>
      </c>
      <c r="M34" s="79">
        <v>30</v>
      </c>
      <c r="N34" s="80"/>
      <c r="O34" s="79">
        <v>234245</v>
      </c>
      <c r="P34" s="79">
        <v>1160741</v>
      </c>
      <c r="Q34" s="79"/>
      <c r="R34" s="79">
        <v>550</v>
      </c>
      <c r="S34" s="78" t="s">
        <v>286</v>
      </c>
      <c r="T34" s="89" t="s">
        <v>508</v>
      </c>
      <c r="U34" s="9" t="s">
        <v>207</v>
      </c>
      <c r="V34" s="85">
        <v>0.4</v>
      </c>
      <c r="W34" s="86">
        <v>3000</v>
      </c>
      <c r="X34" s="85">
        <v>1.3</v>
      </c>
      <c r="Y34" s="85">
        <v>2.6</v>
      </c>
      <c r="Z34" s="86">
        <v>5000</v>
      </c>
      <c r="AA34" s="85">
        <v>3.8</v>
      </c>
      <c r="AB34" s="38">
        <v>7.8</v>
      </c>
      <c r="AC34" s="85">
        <v>1.9</v>
      </c>
      <c r="AD34" s="87">
        <v>14</v>
      </c>
      <c r="AE34" s="88">
        <v>26</v>
      </c>
      <c r="AF34" s="78" t="s">
        <v>489</v>
      </c>
      <c r="AI34" s="9" t="s">
        <v>162</v>
      </c>
      <c r="AJ34" s="9">
        <v>44</v>
      </c>
      <c r="AK34" s="9">
        <v>30</v>
      </c>
      <c r="AL34" s="16">
        <v>112.05</v>
      </c>
      <c r="AM34" s="9">
        <v>38</v>
      </c>
    </row>
    <row r="35" spans="1:39" ht="16.2" x14ac:dyDescent="0.3">
      <c r="A35" s="4" t="s">
        <v>161</v>
      </c>
      <c r="B35" s="15">
        <f>INDEX($T$2:$AF$137,MATCH($B$26,$T$2:$T$137),10)</f>
        <v>0</v>
      </c>
      <c r="C35" s="9" t="s">
        <v>18</v>
      </c>
      <c r="K35" s="78" t="s">
        <v>323</v>
      </c>
      <c r="L35" s="79">
        <v>50</v>
      </c>
      <c r="M35" s="79">
        <v>20</v>
      </c>
      <c r="N35" s="80">
        <v>6.35</v>
      </c>
      <c r="O35" s="79">
        <v>4560</v>
      </c>
      <c r="P35" s="79">
        <v>13230</v>
      </c>
      <c r="Q35" s="79">
        <v>149</v>
      </c>
      <c r="R35" s="79">
        <v>155</v>
      </c>
      <c r="S35" s="78" t="s">
        <v>43</v>
      </c>
      <c r="T35" s="89" t="s">
        <v>509</v>
      </c>
      <c r="U35" s="9" t="s">
        <v>510</v>
      </c>
      <c r="V35" s="85">
        <v>0.05</v>
      </c>
      <c r="W35" s="86">
        <v>3000</v>
      </c>
      <c r="X35" s="88">
        <v>0.16</v>
      </c>
      <c r="Y35" s="85">
        <v>0.9</v>
      </c>
      <c r="Z35" s="86">
        <v>6900</v>
      </c>
      <c r="AA35" s="88">
        <v>0.56000000000000005</v>
      </c>
      <c r="AB35" s="38">
        <v>3.2</v>
      </c>
      <c r="AC35" s="85">
        <v>0.54</v>
      </c>
      <c r="AD35" s="87">
        <v>8</v>
      </c>
      <c r="AE35" s="88">
        <v>21.5</v>
      </c>
      <c r="AF35" s="78" t="s">
        <v>489</v>
      </c>
      <c r="AI35" s="9" t="s">
        <v>159</v>
      </c>
      <c r="AJ35" s="9">
        <v>48</v>
      </c>
      <c r="AK35" s="9">
        <v>15</v>
      </c>
      <c r="AL35" s="16">
        <v>45.84</v>
      </c>
      <c r="AM35" s="9">
        <v>21</v>
      </c>
    </row>
    <row r="36" spans="1:39" ht="16.2" x14ac:dyDescent="0.3">
      <c r="A36" s="4" t="s">
        <v>24</v>
      </c>
      <c r="B36" s="15">
        <f>INDEX($T$2:$AF$137,MATCH($B$26,$T$2:$T$137),11)</f>
        <v>19</v>
      </c>
      <c r="C36" s="9" t="s">
        <v>19</v>
      </c>
      <c r="K36" s="78" t="s">
        <v>324</v>
      </c>
      <c r="L36" s="79">
        <v>50</v>
      </c>
      <c r="M36" s="79">
        <v>20</v>
      </c>
      <c r="N36" s="80">
        <v>6.35</v>
      </c>
      <c r="O36" s="79">
        <v>5580</v>
      </c>
      <c r="P36" s="79">
        <v>16710</v>
      </c>
      <c r="Q36" s="79">
        <v>185</v>
      </c>
      <c r="R36" s="79">
        <v>175</v>
      </c>
      <c r="S36" s="78" t="s">
        <v>43</v>
      </c>
      <c r="T36" s="89" t="s">
        <v>511</v>
      </c>
      <c r="U36" s="9" t="s">
        <v>510</v>
      </c>
      <c r="V36" s="85">
        <v>0.1</v>
      </c>
      <c r="W36" s="86">
        <v>3000</v>
      </c>
      <c r="X36" s="88">
        <v>0.32</v>
      </c>
      <c r="Y36" s="85">
        <v>0.7</v>
      </c>
      <c r="Z36" s="86">
        <v>6900</v>
      </c>
      <c r="AA36" s="88">
        <v>1.1000000000000001</v>
      </c>
      <c r="AB36" s="38">
        <v>2.5</v>
      </c>
      <c r="AC36" s="85">
        <v>0.74</v>
      </c>
      <c r="AD36" s="87">
        <v>8</v>
      </c>
      <c r="AE36" s="88">
        <v>21.5</v>
      </c>
      <c r="AF36" s="78" t="s">
        <v>489</v>
      </c>
      <c r="AI36" s="9" t="s">
        <v>157</v>
      </c>
      <c r="AJ36" s="9">
        <v>48</v>
      </c>
      <c r="AK36" s="9">
        <v>25</v>
      </c>
      <c r="AL36" s="16">
        <v>122.23</v>
      </c>
      <c r="AM36" s="9">
        <v>33</v>
      </c>
    </row>
    <row r="37" spans="1:39" ht="16.2" x14ac:dyDescent="0.3">
      <c r="A37" s="4" t="s">
        <v>23</v>
      </c>
      <c r="B37" s="15">
        <f>INDEX($T$2:$AF$137,MATCH($B$26,$T$2:$T$137),12)</f>
        <v>50</v>
      </c>
      <c r="C37" s="9" t="s">
        <v>19</v>
      </c>
      <c r="K37" s="78" t="s">
        <v>325</v>
      </c>
      <c r="L37" s="79">
        <v>16</v>
      </c>
      <c r="M37" s="79">
        <v>10</v>
      </c>
      <c r="N37" s="80">
        <v>3</v>
      </c>
      <c r="O37" s="79">
        <v>1172</v>
      </c>
      <c r="P37" s="79">
        <v>1255</v>
      </c>
      <c r="Q37" s="79"/>
      <c r="R37" s="79">
        <v>45</v>
      </c>
      <c r="S37" s="78" t="s">
        <v>318</v>
      </c>
      <c r="T37" s="89" t="s">
        <v>512</v>
      </c>
      <c r="U37" s="9" t="s">
        <v>513</v>
      </c>
      <c r="V37" s="85">
        <v>0.2</v>
      </c>
      <c r="W37" s="86">
        <v>3000</v>
      </c>
      <c r="X37" s="88">
        <v>0.64</v>
      </c>
      <c r="Y37" s="85">
        <v>1.3</v>
      </c>
      <c r="Z37" s="86">
        <v>6900</v>
      </c>
      <c r="AA37" s="88">
        <v>2.2000000000000002</v>
      </c>
      <c r="AB37" s="38">
        <v>4.5999999999999996</v>
      </c>
      <c r="AC37" s="85">
        <v>1.3</v>
      </c>
      <c r="AD37" s="87">
        <v>14</v>
      </c>
      <c r="AE37" s="88">
        <v>26</v>
      </c>
      <c r="AF37" s="78" t="s">
        <v>489</v>
      </c>
      <c r="AI37" s="9" t="s">
        <v>155</v>
      </c>
      <c r="AJ37" s="9">
        <v>48</v>
      </c>
      <c r="AK37" s="9">
        <v>30</v>
      </c>
      <c r="AL37" s="16">
        <v>122.23</v>
      </c>
      <c r="AM37" s="9">
        <v>38</v>
      </c>
    </row>
    <row r="38" spans="1:39" x14ac:dyDescent="0.3">
      <c r="K38" s="78" t="s">
        <v>326</v>
      </c>
      <c r="L38" s="79">
        <v>16</v>
      </c>
      <c r="M38" s="79">
        <v>16</v>
      </c>
      <c r="N38" s="80">
        <v>3</v>
      </c>
      <c r="O38" s="79">
        <v>1143</v>
      </c>
      <c r="P38" s="79">
        <v>1224</v>
      </c>
      <c r="Q38" s="79"/>
      <c r="R38" s="79">
        <v>61</v>
      </c>
      <c r="S38" s="78" t="s">
        <v>318</v>
      </c>
      <c r="T38" s="89" t="s">
        <v>514</v>
      </c>
      <c r="U38" s="9" t="s">
        <v>515</v>
      </c>
      <c r="V38" s="85">
        <v>0.4</v>
      </c>
      <c r="W38" s="86">
        <v>3000</v>
      </c>
      <c r="X38" s="88">
        <v>1.3</v>
      </c>
      <c r="Y38" s="85">
        <v>2.6</v>
      </c>
      <c r="Z38" s="86">
        <v>6900</v>
      </c>
      <c r="AA38" s="88">
        <v>4.5</v>
      </c>
      <c r="AB38" s="38">
        <v>9.1</v>
      </c>
      <c r="AC38" s="85">
        <v>1.8</v>
      </c>
      <c r="AD38" s="87">
        <v>14</v>
      </c>
      <c r="AE38" s="88">
        <v>26</v>
      </c>
      <c r="AF38" s="78" t="s">
        <v>489</v>
      </c>
      <c r="AI38" s="9" t="s">
        <v>153</v>
      </c>
      <c r="AJ38" s="9">
        <v>50</v>
      </c>
      <c r="AK38" s="9">
        <v>25</v>
      </c>
      <c r="AL38" s="16">
        <v>127.32</v>
      </c>
      <c r="AM38" s="9">
        <v>33</v>
      </c>
    </row>
    <row r="39" spans="1:39" ht="16.2" x14ac:dyDescent="0.3">
      <c r="A39" s="47" t="s">
        <v>152</v>
      </c>
      <c r="B39" s="46" t="s">
        <v>284</v>
      </c>
      <c r="K39" s="78" t="s">
        <v>327</v>
      </c>
      <c r="L39" s="79">
        <v>20</v>
      </c>
      <c r="M39" s="79">
        <v>5</v>
      </c>
      <c r="N39" s="80">
        <v>3</v>
      </c>
      <c r="O39" s="79">
        <v>1755</v>
      </c>
      <c r="P39" s="79">
        <v>2194</v>
      </c>
      <c r="Q39" s="79"/>
      <c r="R39" s="79">
        <v>40</v>
      </c>
      <c r="S39" s="78" t="s">
        <v>318</v>
      </c>
      <c r="T39" s="89" t="s">
        <v>516</v>
      </c>
      <c r="U39" s="9" t="s">
        <v>505</v>
      </c>
      <c r="V39" s="85">
        <v>0.75</v>
      </c>
      <c r="W39" s="86">
        <v>3000</v>
      </c>
      <c r="X39" s="88">
        <v>2.4</v>
      </c>
      <c r="Y39" s="85">
        <v>4.9000000000000004</v>
      </c>
      <c r="Z39" s="86">
        <v>6900</v>
      </c>
      <c r="AA39" s="88">
        <v>8.4</v>
      </c>
      <c r="AB39" s="38">
        <v>17.2</v>
      </c>
      <c r="AC39" s="85">
        <v>3.8</v>
      </c>
      <c r="AD39" s="87">
        <v>19</v>
      </c>
      <c r="AE39" s="88">
        <v>36</v>
      </c>
      <c r="AF39" s="78" t="s">
        <v>489</v>
      </c>
      <c r="AI39" s="9" t="s">
        <v>150</v>
      </c>
      <c r="AJ39" s="9">
        <v>50</v>
      </c>
      <c r="AK39" s="9">
        <v>30</v>
      </c>
      <c r="AL39" s="16">
        <v>127.32</v>
      </c>
      <c r="AM39" s="9">
        <v>38</v>
      </c>
    </row>
    <row r="40" spans="1:39" ht="18.600000000000001" x14ac:dyDescent="0.3">
      <c r="A40" s="4" t="s">
        <v>5</v>
      </c>
      <c r="B40" s="15">
        <f>INDEX($AI$2:$AM$54,MATCH($B$39,$AI$2:$AI$54),2)</f>
        <v>32</v>
      </c>
      <c r="K40" s="78" t="s">
        <v>328</v>
      </c>
      <c r="L40" s="79">
        <v>20</v>
      </c>
      <c r="M40" s="79">
        <v>10</v>
      </c>
      <c r="N40" s="80">
        <v>3</v>
      </c>
      <c r="O40" s="79">
        <v>1724</v>
      </c>
      <c r="P40" s="79">
        <v>2173</v>
      </c>
      <c r="Q40" s="79"/>
      <c r="R40" s="79">
        <v>60</v>
      </c>
      <c r="S40" s="78" t="s">
        <v>318</v>
      </c>
      <c r="T40" s="89" t="s">
        <v>517</v>
      </c>
      <c r="U40" s="9" t="s">
        <v>510</v>
      </c>
      <c r="V40" s="85">
        <v>0.05</v>
      </c>
      <c r="W40" s="86">
        <v>3000</v>
      </c>
      <c r="X40" s="88">
        <v>0.16</v>
      </c>
      <c r="Y40" s="85">
        <v>1</v>
      </c>
      <c r="Z40" s="86">
        <v>6900</v>
      </c>
      <c r="AA40" s="88">
        <v>0.48</v>
      </c>
      <c r="AB40" s="38">
        <v>3.1</v>
      </c>
      <c r="AC40" s="85">
        <v>0.54</v>
      </c>
      <c r="AD40" s="87">
        <v>8</v>
      </c>
      <c r="AE40" s="88">
        <v>21.5</v>
      </c>
      <c r="AF40" s="78" t="s">
        <v>489</v>
      </c>
      <c r="AI40" s="9" t="s">
        <v>148</v>
      </c>
      <c r="AJ40" s="9">
        <v>60</v>
      </c>
      <c r="AK40" s="9">
        <v>25</v>
      </c>
      <c r="AL40" s="16">
        <v>152.79</v>
      </c>
      <c r="AM40" s="9">
        <v>33</v>
      </c>
    </row>
    <row r="41" spans="1:39" ht="16.2" x14ac:dyDescent="0.3">
      <c r="A41" s="4" t="s">
        <v>132</v>
      </c>
      <c r="B41" s="15">
        <f>INDEX($AI$2:$AM$54,MATCH($B$39,$AI$2:$AI$54),3)</f>
        <v>25</v>
      </c>
      <c r="K41" s="78" t="s">
        <v>329</v>
      </c>
      <c r="L41" s="79">
        <v>20</v>
      </c>
      <c r="M41" s="79">
        <v>20</v>
      </c>
      <c r="N41" s="80">
        <v>3.5</v>
      </c>
      <c r="O41" s="79">
        <v>1633</v>
      </c>
      <c r="P41" s="79">
        <v>1918</v>
      </c>
      <c r="Q41" s="79"/>
      <c r="R41" s="79">
        <v>57</v>
      </c>
      <c r="S41" s="78" t="s">
        <v>318</v>
      </c>
      <c r="T41" s="89" t="s">
        <v>518</v>
      </c>
      <c r="U41" s="9" t="s">
        <v>510</v>
      </c>
      <c r="V41" s="85">
        <v>0.1</v>
      </c>
      <c r="W41" s="86">
        <v>3000</v>
      </c>
      <c r="X41" s="88">
        <v>0.32</v>
      </c>
      <c r="Y41" s="85">
        <v>0.8</v>
      </c>
      <c r="Z41" s="86">
        <v>6900</v>
      </c>
      <c r="AA41" s="88">
        <v>0.95</v>
      </c>
      <c r="AB41" s="38">
        <v>2.5</v>
      </c>
      <c r="AC41" s="85">
        <v>0.74</v>
      </c>
      <c r="AD41" s="87">
        <v>8</v>
      </c>
      <c r="AE41" s="88">
        <v>21.5</v>
      </c>
      <c r="AF41" s="78" t="s">
        <v>489</v>
      </c>
      <c r="AI41" s="9" t="s">
        <v>146</v>
      </c>
      <c r="AJ41" s="9">
        <v>60</v>
      </c>
      <c r="AK41" s="9">
        <v>30</v>
      </c>
      <c r="AL41" s="16">
        <v>152.79</v>
      </c>
      <c r="AM41" s="9">
        <v>38</v>
      </c>
    </row>
    <row r="42" spans="1:39" ht="16.2" x14ac:dyDescent="0.3">
      <c r="A42" s="4" t="s">
        <v>145</v>
      </c>
      <c r="B42" s="16">
        <f>INDEX($AI$2:$AM$54,MATCH($B$39,$AI$2:$AI$54),4)</f>
        <v>81.489999999999995</v>
      </c>
      <c r="C42" s="9" t="s">
        <v>19</v>
      </c>
      <c r="K42" s="78" t="s">
        <v>330</v>
      </c>
      <c r="L42" s="79">
        <v>25</v>
      </c>
      <c r="M42" s="79">
        <v>5</v>
      </c>
      <c r="N42" s="80">
        <v>3</v>
      </c>
      <c r="O42" s="79">
        <v>1949</v>
      </c>
      <c r="P42" s="79">
        <v>2776</v>
      </c>
      <c r="Q42" s="79"/>
      <c r="R42" s="79">
        <v>45</v>
      </c>
      <c r="S42" s="78" t="s">
        <v>318</v>
      </c>
      <c r="T42" s="89" t="s">
        <v>519</v>
      </c>
      <c r="U42" s="9" t="s">
        <v>513</v>
      </c>
      <c r="V42" s="85">
        <v>0.2</v>
      </c>
      <c r="W42" s="86">
        <v>3000</v>
      </c>
      <c r="X42" s="88">
        <v>0.64</v>
      </c>
      <c r="Y42" s="85">
        <v>1.4</v>
      </c>
      <c r="Z42" s="86">
        <v>6900</v>
      </c>
      <c r="AA42" s="88">
        <v>1.9</v>
      </c>
      <c r="AB42" s="38">
        <v>5.3</v>
      </c>
      <c r="AC42" s="85">
        <v>1.3</v>
      </c>
      <c r="AD42" s="87">
        <v>14</v>
      </c>
      <c r="AE42" s="88">
        <v>26</v>
      </c>
      <c r="AF42" s="78" t="s">
        <v>489</v>
      </c>
      <c r="AI42" s="9" t="s">
        <v>143</v>
      </c>
      <c r="AJ42" s="9">
        <v>24</v>
      </c>
      <c r="AK42" s="9">
        <v>33</v>
      </c>
      <c r="AL42" s="9">
        <v>61.12</v>
      </c>
      <c r="AM42" s="9">
        <v>33</v>
      </c>
    </row>
    <row r="43" spans="1:39" ht="16.2" x14ac:dyDescent="0.3">
      <c r="A43" s="4" t="s">
        <v>142</v>
      </c>
      <c r="B43" s="15">
        <f>INDEX($AI$2:$AM$54,MATCH($B$39,$AI$2:$AI$54),5)</f>
        <v>33</v>
      </c>
      <c r="C43" s="9" t="s">
        <v>19</v>
      </c>
      <c r="K43" s="78" t="s">
        <v>331</v>
      </c>
      <c r="L43" s="79">
        <v>25</v>
      </c>
      <c r="M43" s="79">
        <v>10</v>
      </c>
      <c r="N43" s="80">
        <v>3</v>
      </c>
      <c r="O43" s="79">
        <v>1918</v>
      </c>
      <c r="P43" s="79">
        <v>2755</v>
      </c>
      <c r="Q43" s="79"/>
      <c r="R43" s="79">
        <v>64</v>
      </c>
      <c r="S43" s="78" t="s">
        <v>318</v>
      </c>
      <c r="T43" s="89" t="s">
        <v>520</v>
      </c>
      <c r="U43" s="9" t="s">
        <v>515</v>
      </c>
      <c r="V43" s="85">
        <v>0.4</v>
      </c>
      <c r="W43" s="86">
        <v>3000</v>
      </c>
      <c r="X43" s="88">
        <v>1.3</v>
      </c>
      <c r="Y43" s="85">
        <v>2.6</v>
      </c>
      <c r="Z43" s="86">
        <v>6900</v>
      </c>
      <c r="AA43" s="88">
        <v>3.8</v>
      </c>
      <c r="AB43" s="38">
        <v>9</v>
      </c>
      <c r="AC43" s="85">
        <v>1.8</v>
      </c>
      <c r="AD43" s="87">
        <v>14</v>
      </c>
      <c r="AE43" s="88">
        <v>26</v>
      </c>
      <c r="AF43" s="78" t="s">
        <v>489</v>
      </c>
      <c r="AI43" s="9" t="s">
        <v>140</v>
      </c>
      <c r="AJ43" s="9">
        <v>30</v>
      </c>
      <c r="AK43" s="9">
        <v>32</v>
      </c>
      <c r="AL43" s="9">
        <v>75.010000000000005</v>
      </c>
      <c r="AM43" s="9">
        <v>33</v>
      </c>
    </row>
    <row r="44" spans="1:39" ht="16.2" x14ac:dyDescent="0.3">
      <c r="A44" s="4"/>
      <c r="B44" s="12"/>
      <c r="K44" s="78" t="s">
        <v>332</v>
      </c>
      <c r="L44" s="79">
        <v>25</v>
      </c>
      <c r="M44" s="79">
        <v>10</v>
      </c>
      <c r="N44" s="80">
        <v>3.5</v>
      </c>
      <c r="O44" s="79">
        <v>1235</v>
      </c>
      <c r="P44" s="79">
        <v>1541</v>
      </c>
      <c r="Q44" s="79"/>
      <c r="R44" s="79">
        <v>70</v>
      </c>
      <c r="S44" s="78" t="s">
        <v>318</v>
      </c>
      <c r="T44" s="89" t="s">
        <v>521</v>
      </c>
      <c r="U44" s="9" t="s">
        <v>505</v>
      </c>
      <c r="V44" s="85">
        <v>0.75</v>
      </c>
      <c r="W44" s="86">
        <v>3000</v>
      </c>
      <c r="X44" s="88">
        <v>2.4</v>
      </c>
      <c r="Y44" s="85">
        <v>6</v>
      </c>
      <c r="Z44" s="86">
        <v>6900</v>
      </c>
      <c r="AA44" s="88">
        <v>7.2</v>
      </c>
      <c r="AB44" s="38">
        <v>20</v>
      </c>
      <c r="AC44" s="85">
        <v>3.8</v>
      </c>
      <c r="AD44" s="87">
        <v>19</v>
      </c>
      <c r="AE44" s="88">
        <v>36</v>
      </c>
      <c r="AF44" s="78" t="s">
        <v>489</v>
      </c>
      <c r="AI44" s="9" t="s">
        <v>138</v>
      </c>
      <c r="AJ44" s="9">
        <v>48</v>
      </c>
      <c r="AK44" s="9">
        <v>33</v>
      </c>
      <c r="AL44" s="9">
        <v>122.23</v>
      </c>
      <c r="AM44" s="9">
        <v>33</v>
      </c>
    </row>
    <row r="45" spans="1:39" ht="16.2" x14ac:dyDescent="0.3">
      <c r="A45" s="47" t="s">
        <v>137</v>
      </c>
      <c r="B45" s="46" t="s">
        <v>285</v>
      </c>
      <c r="K45" s="78" t="s">
        <v>333</v>
      </c>
      <c r="L45" s="79">
        <v>32</v>
      </c>
      <c r="M45" s="79">
        <v>5</v>
      </c>
      <c r="N45" s="80">
        <v>3.5</v>
      </c>
      <c r="O45" s="79">
        <v>2643</v>
      </c>
      <c r="P45" s="79">
        <v>4082</v>
      </c>
      <c r="Q45" s="79"/>
      <c r="R45" s="79">
        <v>48</v>
      </c>
      <c r="S45" s="78" t="s">
        <v>318</v>
      </c>
      <c r="T45" s="89" t="s">
        <v>522</v>
      </c>
      <c r="U45" s="9" t="s">
        <v>492</v>
      </c>
      <c r="V45" s="85">
        <v>1</v>
      </c>
      <c r="W45" s="86">
        <v>2000</v>
      </c>
      <c r="X45" s="88">
        <v>4.8</v>
      </c>
      <c r="Y45" s="85">
        <v>5.6</v>
      </c>
      <c r="Z45" s="86">
        <v>3000</v>
      </c>
      <c r="AA45" s="88">
        <v>14.3</v>
      </c>
      <c r="AB45" s="38">
        <v>17</v>
      </c>
      <c r="AC45" s="85">
        <v>6.2</v>
      </c>
      <c r="AD45" s="87">
        <v>24</v>
      </c>
      <c r="AE45" s="88">
        <v>50</v>
      </c>
      <c r="AF45" s="78" t="s">
        <v>489</v>
      </c>
      <c r="AI45" s="9" t="s">
        <v>135</v>
      </c>
      <c r="AJ45" s="9">
        <v>60</v>
      </c>
      <c r="AK45" s="9">
        <v>32</v>
      </c>
      <c r="AL45" s="9">
        <v>151.41</v>
      </c>
      <c r="AM45" s="9">
        <v>33</v>
      </c>
    </row>
    <row r="46" spans="1:39" ht="18.600000000000001" x14ac:dyDescent="0.3">
      <c r="A46" s="4" t="s">
        <v>6</v>
      </c>
      <c r="B46" s="12">
        <f>INDEX($AI$2:$AM$54,MATCH($B$45,$AI$2:$AI$54),2)</f>
        <v>48</v>
      </c>
      <c r="K46" s="78" t="s">
        <v>334</v>
      </c>
      <c r="L46" s="79">
        <v>32</v>
      </c>
      <c r="M46" s="79">
        <v>10</v>
      </c>
      <c r="N46" s="80">
        <v>3.9689999999999999</v>
      </c>
      <c r="O46" s="79">
        <v>3878</v>
      </c>
      <c r="P46" s="79">
        <v>5949</v>
      </c>
      <c r="Q46" s="79"/>
      <c r="R46" s="79">
        <v>77</v>
      </c>
      <c r="S46" s="78" t="s">
        <v>318</v>
      </c>
      <c r="T46" s="89" t="s">
        <v>523</v>
      </c>
      <c r="U46" s="9" t="s">
        <v>494</v>
      </c>
      <c r="V46" s="85">
        <v>1.2</v>
      </c>
      <c r="W46" s="86">
        <v>1000</v>
      </c>
      <c r="X46" s="88">
        <v>11.5</v>
      </c>
      <c r="Y46" s="85">
        <v>7.1</v>
      </c>
      <c r="Z46" s="86">
        <v>1500</v>
      </c>
      <c r="AA46" s="88">
        <v>34.4</v>
      </c>
      <c r="AB46" s="38">
        <v>22.7</v>
      </c>
      <c r="AC46" s="85">
        <v>17</v>
      </c>
      <c r="AD46" s="87">
        <v>35</v>
      </c>
      <c r="AE46" s="88">
        <v>75</v>
      </c>
      <c r="AF46" s="78" t="s">
        <v>489</v>
      </c>
      <c r="AI46" s="9" t="s">
        <v>133</v>
      </c>
      <c r="AJ46" s="9">
        <v>30</v>
      </c>
      <c r="AK46" s="9">
        <v>16</v>
      </c>
      <c r="AL46" s="9">
        <v>76.400000000000006</v>
      </c>
      <c r="AM46" s="9">
        <v>33</v>
      </c>
    </row>
    <row r="47" spans="1:39" ht="16.2" x14ac:dyDescent="0.3">
      <c r="A47" s="4" t="s">
        <v>132</v>
      </c>
      <c r="B47" s="12">
        <f>INDEX($AI$2:$AM$54,MATCH($B$45,$AI$2:$AI$54),3)</f>
        <v>25</v>
      </c>
      <c r="K47" s="78" t="s">
        <v>335</v>
      </c>
      <c r="L47" s="79">
        <v>32</v>
      </c>
      <c r="M47" s="79">
        <v>20</v>
      </c>
      <c r="N47" s="80">
        <v>3.9689999999999999</v>
      </c>
      <c r="O47" s="79">
        <v>1653</v>
      </c>
      <c r="P47" s="79">
        <v>2224</v>
      </c>
      <c r="Q47" s="79"/>
      <c r="R47" s="79">
        <v>64</v>
      </c>
      <c r="S47" s="78" t="s">
        <v>318</v>
      </c>
      <c r="T47" s="89" t="s">
        <v>524</v>
      </c>
      <c r="U47" s="9" t="s">
        <v>494</v>
      </c>
      <c r="V47" s="85">
        <v>1.5</v>
      </c>
      <c r="W47" s="86">
        <v>2000</v>
      </c>
      <c r="X47" s="85">
        <v>7.2</v>
      </c>
      <c r="Y47" s="85">
        <v>9.4</v>
      </c>
      <c r="Z47" s="86">
        <v>3000</v>
      </c>
      <c r="AA47" s="85">
        <v>21.5</v>
      </c>
      <c r="AB47" s="38">
        <v>29</v>
      </c>
      <c r="AC47" s="85">
        <v>7.3</v>
      </c>
      <c r="AD47" s="87">
        <v>24</v>
      </c>
      <c r="AE47" s="88">
        <v>50</v>
      </c>
      <c r="AF47" s="78" t="s">
        <v>489</v>
      </c>
      <c r="AI47" s="9" t="s">
        <v>130</v>
      </c>
      <c r="AJ47" s="9">
        <v>34</v>
      </c>
      <c r="AK47" s="9">
        <v>16</v>
      </c>
      <c r="AL47" s="9">
        <v>86.6</v>
      </c>
      <c r="AM47" s="9">
        <v>28.1</v>
      </c>
    </row>
    <row r="48" spans="1:39" ht="16.2" x14ac:dyDescent="0.3">
      <c r="A48" s="4" t="s">
        <v>129</v>
      </c>
      <c r="B48" s="12">
        <f>INDEX($AI$2:$AM$54,MATCH($B$45,$AI$2:$AI$54),4)</f>
        <v>122.23</v>
      </c>
      <c r="C48" s="9" t="s">
        <v>19</v>
      </c>
      <c r="K48" s="78" t="s">
        <v>336</v>
      </c>
      <c r="L48" s="79">
        <v>32</v>
      </c>
      <c r="M48" s="79">
        <v>32</v>
      </c>
      <c r="N48" s="80">
        <v>3.9689999999999999</v>
      </c>
      <c r="O48" s="79">
        <v>1643</v>
      </c>
      <c r="P48" s="79">
        <v>2245</v>
      </c>
      <c r="Q48" s="79"/>
      <c r="R48" s="79">
        <v>88</v>
      </c>
      <c r="S48" s="78" t="s">
        <v>318</v>
      </c>
      <c r="T48" s="89" t="s">
        <v>525</v>
      </c>
      <c r="U48" s="9" t="s">
        <v>494</v>
      </c>
      <c r="V48" s="85">
        <v>2</v>
      </c>
      <c r="W48" s="86">
        <v>1000</v>
      </c>
      <c r="X48" s="85">
        <v>19.100000000000001</v>
      </c>
      <c r="Y48" s="85">
        <v>9.4</v>
      </c>
      <c r="Z48" s="86">
        <v>1500</v>
      </c>
      <c r="AA48" s="85">
        <v>57.3</v>
      </c>
      <c r="AB48" s="38">
        <v>30.1</v>
      </c>
      <c r="AC48" s="85">
        <v>22</v>
      </c>
      <c r="AD48" s="87">
        <v>35</v>
      </c>
      <c r="AE48" s="88">
        <v>75</v>
      </c>
      <c r="AF48" s="78" t="s">
        <v>489</v>
      </c>
      <c r="AI48" s="9" t="s">
        <v>127</v>
      </c>
      <c r="AJ48" s="9">
        <v>36</v>
      </c>
      <c r="AK48" s="9">
        <v>16</v>
      </c>
      <c r="AL48" s="9">
        <v>91.7</v>
      </c>
      <c r="AM48" s="9">
        <v>33</v>
      </c>
    </row>
    <row r="49" spans="1:39" ht="16.2" x14ac:dyDescent="0.3">
      <c r="A49" s="4" t="s">
        <v>126</v>
      </c>
      <c r="B49" s="12">
        <f>INDEX($AI$2:$AM$54,MATCH($B$45,$AI$2:$AI$54),5)</f>
        <v>33</v>
      </c>
      <c r="C49" s="9" t="s">
        <v>19</v>
      </c>
      <c r="K49" s="78" t="s">
        <v>337</v>
      </c>
      <c r="L49" s="79">
        <v>40</v>
      </c>
      <c r="M49" s="79">
        <v>5</v>
      </c>
      <c r="N49" s="80">
        <v>3.5</v>
      </c>
      <c r="O49" s="79">
        <v>3561</v>
      </c>
      <c r="P49" s="79">
        <v>6541</v>
      </c>
      <c r="Q49" s="79"/>
      <c r="R49" s="79">
        <v>54</v>
      </c>
      <c r="S49" s="78" t="s">
        <v>318</v>
      </c>
      <c r="T49" s="89" t="s">
        <v>526</v>
      </c>
      <c r="U49" s="9" t="s">
        <v>494</v>
      </c>
      <c r="V49" s="85">
        <v>2</v>
      </c>
      <c r="W49" s="86">
        <v>2000</v>
      </c>
      <c r="X49" s="85">
        <v>9.5</v>
      </c>
      <c r="Y49" s="85">
        <v>9.6</v>
      </c>
      <c r="Z49" s="86">
        <v>3000</v>
      </c>
      <c r="AA49" s="85">
        <v>28.6</v>
      </c>
      <c r="AB49" s="38">
        <v>31</v>
      </c>
      <c r="AC49" s="85">
        <v>11</v>
      </c>
      <c r="AD49" s="87">
        <v>35</v>
      </c>
      <c r="AE49" s="88">
        <v>75</v>
      </c>
      <c r="AF49" s="78" t="s">
        <v>485</v>
      </c>
      <c r="AI49" s="9" t="s">
        <v>124</v>
      </c>
      <c r="AJ49" s="9">
        <v>38</v>
      </c>
      <c r="AK49" s="9">
        <v>16</v>
      </c>
      <c r="AL49" s="9">
        <v>96.8</v>
      </c>
      <c r="AM49" s="9">
        <v>33</v>
      </c>
    </row>
    <row r="50" spans="1:39" ht="16.2" x14ac:dyDescent="0.3">
      <c r="A50" s="4"/>
      <c r="B50" s="12"/>
      <c r="K50" s="78" t="s">
        <v>338</v>
      </c>
      <c r="L50" s="79">
        <v>40</v>
      </c>
      <c r="M50" s="79">
        <v>10</v>
      </c>
      <c r="N50" s="80">
        <v>6</v>
      </c>
      <c r="O50" s="79">
        <v>6122</v>
      </c>
      <c r="P50" s="79">
        <v>8816</v>
      </c>
      <c r="Q50" s="79"/>
      <c r="R50" s="79">
        <v>70</v>
      </c>
      <c r="S50" s="78" t="s">
        <v>318</v>
      </c>
      <c r="T50" s="89" t="s">
        <v>527</v>
      </c>
      <c r="U50" s="9" t="s">
        <v>497</v>
      </c>
      <c r="V50" s="85">
        <v>3</v>
      </c>
      <c r="W50" s="86">
        <v>1000</v>
      </c>
      <c r="X50" s="85">
        <v>28.6</v>
      </c>
      <c r="Y50" s="85">
        <v>13</v>
      </c>
      <c r="Z50" s="86">
        <v>1500</v>
      </c>
      <c r="AA50" s="85">
        <v>85.9</v>
      </c>
      <c r="AB50" s="38">
        <v>41.6</v>
      </c>
      <c r="AC50" s="85">
        <v>26</v>
      </c>
      <c r="AD50" s="87">
        <v>35</v>
      </c>
      <c r="AE50" s="88">
        <v>75</v>
      </c>
      <c r="AF50" s="78" t="s">
        <v>485</v>
      </c>
      <c r="AI50" s="9" t="s">
        <v>122</v>
      </c>
      <c r="AJ50" s="9">
        <v>44</v>
      </c>
      <c r="AK50" s="9">
        <v>16</v>
      </c>
      <c r="AL50" s="9">
        <v>112</v>
      </c>
      <c r="AM50" s="9">
        <v>33</v>
      </c>
    </row>
    <row r="51" spans="1:39" ht="16.2" x14ac:dyDescent="0.3">
      <c r="A51" s="5" t="s">
        <v>281</v>
      </c>
      <c r="B51" s="69">
        <f>+B46/B40</f>
        <v>1.5</v>
      </c>
      <c r="D51" s="12"/>
      <c r="K51" s="78" t="s">
        <v>339</v>
      </c>
      <c r="L51" s="79">
        <v>40</v>
      </c>
      <c r="M51" s="79">
        <v>10</v>
      </c>
      <c r="N51" s="80">
        <v>6</v>
      </c>
      <c r="O51" s="79">
        <v>8827</v>
      </c>
      <c r="P51" s="79">
        <v>13490</v>
      </c>
      <c r="Q51" s="79"/>
      <c r="R51" s="79">
        <v>90</v>
      </c>
      <c r="S51" s="78" t="s">
        <v>318</v>
      </c>
      <c r="T51" s="89" t="s">
        <v>528</v>
      </c>
      <c r="U51" s="9" t="s">
        <v>497</v>
      </c>
      <c r="V51" s="85">
        <v>3.5</v>
      </c>
      <c r="W51" s="86">
        <v>2000</v>
      </c>
      <c r="X51" s="85">
        <v>16.7</v>
      </c>
      <c r="Y51" s="85">
        <v>14</v>
      </c>
      <c r="Z51" s="86">
        <v>3000</v>
      </c>
      <c r="AA51" s="85">
        <v>50.1</v>
      </c>
      <c r="AB51" s="38">
        <v>45</v>
      </c>
      <c r="AC51" s="85">
        <v>16</v>
      </c>
      <c r="AD51" s="87">
        <v>35</v>
      </c>
      <c r="AE51" s="88">
        <v>75</v>
      </c>
      <c r="AF51" s="78" t="s">
        <v>485</v>
      </c>
      <c r="AI51" s="9" t="s">
        <v>120</v>
      </c>
      <c r="AJ51" s="9">
        <v>50</v>
      </c>
      <c r="AK51" s="9">
        <v>16</v>
      </c>
      <c r="AL51" s="9">
        <v>127.3</v>
      </c>
      <c r="AM51" s="9">
        <v>33</v>
      </c>
    </row>
    <row r="52" spans="1:39" x14ac:dyDescent="0.3">
      <c r="K52" s="78" t="s">
        <v>340</v>
      </c>
      <c r="L52" s="79">
        <v>40</v>
      </c>
      <c r="M52" s="79">
        <v>20</v>
      </c>
      <c r="N52" s="80">
        <v>6</v>
      </c>
      <c r="O52" s="79">
        <v>4643</v>
      </c>
      <c r="P52" s="79">
        <v>6408</v>
      </c>
      <c r="Q52" s="79"/>
      <c r="R52" s="79">
        <v>88</v>
      </c>
      <c r="S52" s="78" t="s">
        <v>318</v>
      </c>
      <c r="T52" s="89" t="s">
        <v>529</v>
      </c>
      <c r="U52" s="9" t="s">
        <v>499</v>
      </c>
      <c r="V52" s="85">
        <v>4.2</v>
      </c>
      <c r="W52" s="86">
        <v>1000</v>
      </c>
      <c r="X52" s="85">
        <v>40.1</v>
      </c>
      <c r="Y52" s="85">
        <v>19</v>
      </c>
      <c r="Z52" s="86">
        <v>1500</v>
      </c>
      <c r="AA52" s="85">
        <v>120</v>
      </c>
      <c r="AB52" s="38">
        <v>60.8</v>
      </c>
      <c r="AC52" s="85">
        <v>33</v>
      </c>
      <c r="AD52" s="87">
        <v>35</v>
      </c>
      <c r="AE52" s="88">
        <v>75</v>
      </c>
      <c r="AF52" s="78" t="s">
        <v>485</v>
      </c>
      <c r="AI52" s="9" t="s">
        <v>118</v>
      </c>
      <c r="AJ52" s="9">
        <v>52</v>
      </c>
      <c r="AK52" s="9">
        <v>16</v>
      </c>
      <c r="AL52" s="9">
        <v>132.4</v>
      </c>
      <c r="AM52" s="9">
        <v>33</v>
      </c>
    </row>
    <row r="53" spans="1:39" ht="17.399999999999999" x14ac:dyDescent="0.3">
      <c r="A53" s="13" t="s">
        <v>27</v>
      </c>
      <c r="B53" s="14">
        <v>9810</v>
      </c>
      <c r="C53" s="17" t="s">
        <v>26</v>
      </c>
      <c r="D53" s="9">
        <f>+B53/1000</f>
        <v>9.81</v>
      </c>
      <c r="E53" s="17" t="s">
        <v>25</v>
      </c>
      <c r="K53" s="78" t="s">
        <v>341</v>
      </c>
      <c r="L53" s="79">
        <v>40</v>
      </c>
      <c r="M53" s="79">
        <v>40</v>
      </c>
      <c r="N53" s="80">
        <v>6</v>
      </c>
      <c r="O53" s="79">
        <v>3122</v>
      </c>
      <c r="P53" s="79">
        <v>4112</v>
      </c>
      <c r="Q53" s="79"/>
      <c r="R53" s="79">
        <v>102</v>
      </c>
      <c r="S53" s="78" t="s">
        <v>318</v>
      </c>
      <c r="T53" s="89" t="s">
        <v>530</v>
      </c>
      <c r="U53" s="9" t="s">
        <v>499</v>
      </c>
      <c r="V53" s="85">
        <v>5</v>
      </c>
      <c r="W53" s="86">
        <v>2000</v>
      </c>
      <c r="X53" s="85">
        <v>23.9</v>
      </c>
      <c r="Y53" s="85">
        <v>22</v>
      </c>
      <c r="Z53" s="86">
        <v>3000</v>
      </c>
      <c r="AA53" s="85">
        <v>71.599999999999994</v>
      </c>
      <c r="AB53" s="38">
        <v>70</v>
      </c>
      <c r="AC53" s="85">
        <v>20</v>
      </c>
      <c r="AD53" s="87">
        <v>35</v>
      </c>
      <c r="AE53" s="88">
        <v>75</v>
      </c>
      <c r="AF53" s="78" t="s">
        <v>485</v>
      </c>
    </row>
    <row r="54" spans="1:39" ht="16.2" x14ac:dyDescent="0.3">
      <c r="A54" s="4" t="s">
        <v>117</v>
      </c>
      <c r="B54" s="16">
        <f>+B3/B9</f>
        <v>20</v>
      </c>
      <c r="C54" s="9" t="s">
        <v>2</v>
      </c>
      <c r="K54" s="78" t="s">
        <v>342</v>
      </c>
      <c r="L54" s="79">
        <v>50</v>
      </c>
      <c r="M54" s="79">
        <v>5</v>
      </c>
      <c r="N54" s="80">
        <v>3.5</v>
      </c>
      <c r="O54" s="79">
        <v>3918</v>
      </c>
      <c r="P54" s="79">
        <v>8296</v>
      </c>
      <c r="Q54" s="79"/>
      <c r="R54" s="79">
        <v>54</v>
      </c>
      <c r="S54" s="78" t="s">
        <v>318</v>
      </c>
      <c r="T54" s="89" t="s">
        <v>531</v>
      </c>
      <c r="U54" s="9" t="s">
        <v>501</v>
      </c>
      <c r="V54" s="85">
        <v>0.5</v>
      </c>
      <c r="W54" s="86">
        <v>1000</v>
      </c>
      <c r="X54" s="85">
        <v>4.8</v>
      </c>
      <c r="Y54" s="85">
        <v>2.8</v>
      </c>
      <c r="Z54" s="86">
        <v>1500</v>
      </c>
      <c r="AA54" s="85">
        <v>14.3</v>
      </c>
      <c r="AB54" s="38">
        <v>9</v>
      </c>
      <c r="AC54" s="85">
        <v>8.1999999999999993</v>
      </c>
      <c r="AD54" s="87">
        <v>24</v>
      </c>
      <c r="AE54" s="88">
        <v>50</v>
      </c>
      <c r="AF54" s="78" t="s">
        <v>485</v>
      </c>
      <c r="AI54" s="9" t="s">
        <v>115</v>
      </c>
      <c r="AJ54" s="9">
        <v>56</v>
      </c>
      <c r="AK54" s="9">
        <v>16</v>
      </c>
      <c r="AL54" s="9">
        <v>142.6</v>
      </c>
      <c r="AM54" s="9">
        <v>33</v>
      </c>
    </row>
    <row r="55" spans="1:39" ht="19.8" x14ac:dyDescent="0.3">
      <c r="A55" s="4" t="s">
        <v>114</v>
      </c>
      <c r="B55" s="14">
        <f>+B31*B51*B9</f>
        <v>45000</v>
      </c>
      <c r="C55" s="9" t="s">
        <v>111</v>
      </c>
      <c r="D55" s="45">
        <f>+B55/1000</f>
        <v>45</v>
      </c>
      <c r="E55" s="9" t="s">
        <v>110</v>
      </c>
      <c r="F55" s="16">
        <f>+ROUND(B55/60,2)</f>
        <v>750</v>
      </c>
      <c r="G55" s="9" t="s">
        <v>109</v>
      </c>
      <c r="K55" s="78" t="s">
        <v>343</v>
      </c>
      <c r="L55" s="79">
        <v>50</v>
      </c>
      <c r="M55" s="79">
        <v>10</v>
      </c>
      <c r="N55" s="80">
        <v>6</v>
      </c>
      <c r="O55" s="79">
        <v>9755</v>
      </c>
      <c r="P55" s="79">
        <v>16990</v>
      </c>
      <c r="Q55" s="79"/>
      <c r="R55" s="79">
        <v>90</v>
      </c>
      <c r="S55" s="78" t="s">
        <v>318</v>
      </c>
      <c r="T55" s="89" t="s">
        <v>532</v>
      </c>
      <c r="U55" s="9" t="s">
        <v>501</v>
      </c>
      <c r="V55" s="85">
        <v>0.5</v>
      </c>
      <c r="W55" s="86">
        <v>2000</v>
      </c>
      <c r="X55" s="85">
        <v>2.4</v>
      </c>
      <c r="Y55" s="85">
        <v>2.9</v>
      </c>
      <c r="Z55" s="86">
        <v>3000</v>
      </c>
      <c r="AA55" s="85">
        <v>7.2</v>
      </c>
      <c r="AB55" s="38">
        <v>9</v>
      </c>
      <c r="AC55" s="85">
        <v>4.8</v>
      </c>
      <c r="AD55" s="87">
        <v>24</v>
      </c>
      <c r="AE55" s="88">
        <v>50</v>
      </c>
      <c r="AF55" s="78" t="s">
        <v>485</v>
      </c>
    </row>
    <row r="56" spans="1:39" ht="19.8" x14ac:dyDescent="0.3">
      <c r="A56" s="4" t="s">
        <v>112</v>
      </c>
      <c r="B56" s="14">
        <f>+$B$9*B32*$B$51</f>
        <v>75000</v>
      </c>
      <c r="C56" s="9" t="s">
        <v>111</v>
      </c>
      <c r="D56" s="45">
        <f>+B56/1000</f>
        <v>75</v>
      </c>
      <c r="E56" s="9" t="s">
        <v>110</v>
      </c>
      <c r="F56" s="16">
        <f>+ROUND(B56/60,2)</f>
        <v>1250</v>
      </c>
      <c r="G56" s="9" t="s">
        <v>109</v>
      </c>
      <c r="H56" s="16">
        <f>+ROUND(D56/60,2)</f>
        <v>1.25</v>
      </c>
      <c r="I56" s="9" t="s">
        <v>108</v>
      </c>
      <c r="K56" s="78" t="s">
        <v>344</v>
      </c>
      <c r="L56" s="79">
        <v>50</v>
      </c>
      <c r="M56" s="79">
        <v>16</v>
      </c>
      <c r="N56" s="80">
        <v>6</v>
      </c>
      <c r="O56" s="79">
        <v>9724</v>
      </c>
      <c r="P56" s="79">
        <v>16939</v>
      </c>
      <c r="Q56" s="79"/>
      <c r="R56" s="79">
        <v>128</v>
      </c>
      <c r="S56" s="78" t="s">
        <v>318</v>
      </c>
      <c r="T56" s="89" t="s">
        <v>533</v>
      </c>
      <c r="U56" s="9" t="s">
        <v>503</v>
      </c>
      <c r="V56" s="85">
        <v>7</v>
      </c>
      <c r="W56" s="86">
        <v>2000</v>
      </c>
      <c r="X56" s="85">
        <v>33.4</v>
      </c>
      <c r="Y56" s="85">
        <v>26</v>
      </c>
      <c r="Z56" s="86">
        <v>3000</v>
      </c>
      <c r="AA56" s="85">
        <v>100</v>
      </c>
      <c r="AB56" s="38">
        <v>83</v>
      </c>
      <c r="AC56" s="85">
        <v>27</v>
      </c>
      <c r="AD56" s="87">
        <v>35</v>
      </c>
      <c r="AE56" s="88">
        <v>75</v>
      </c>
      <c r="AF56" s="78" t="s">
        <v>485</v>
      </c>
    </row>
    <row r="57" spans="1:39" x14ac:dyDescent="0.3">
      <c r="K57" s="78" t="s">
        <v>345</v>
      </c>
      <c r="L57" s="79">
        <v>50</v>
      </c>
      <c r="M57" s="79">
        <v>20</v>
      </c>
      <c r="N57" s="80">
        <v>6.5</v>
      </c>
      <c r="O57" s="79">
        <v>5867</v>
      </c>
      <c r="P57" s="79">
        <v>8969</v>
      </c>
      <c r="Q57" s="79"/>
      <c r="R57" s="79">
        <v>92</v>
      </c>
      <c r="S57" s="78" t="s">
        <v>318</v>
      </c>
      <c r="T57" s="89" t="s">
        <v>534</v>
      </c>
      <c r="U57" s="9" t="s">
        <v>492</v>
      </c>
      <c r="V57" s="85">
        <v>0.85</v>
      </c>
      <c r="W57" s="86">
        <v>1000</v>
      </c>
      <c r="X57" s="85">
        <v>8.1</v>
      </c>
      <c r="Y57" s="85">
        <v>5.2</v>
      </c>
      <c r="Z57" s="86">
        <v>1500</v>
      </c>
      <c r="AA57" s="85">
        <v>24.4</v>
      </c>
      <c r="AB57" s="38">
        <v>16.600000000000001</v>
      </c>
      <c r="AC57" s="85">
        <v>9.3000000000000007</v>
      </c>
      <c r="AD57" s="87">
        <v>24</v>
      </c>
      <c r="AE57" s="88">
        <v>50</v>
      </c>
      <c r="AF57" s="78" t="s">
        <v>485</v>
      </c>
    </row>
    <row r="58" spans="1:39" ht="16.2" x14ac:dyDescent="0.3">
      <c r="A58" s="4" t="s">
        <v>105</v>
      </c>
      <c r="B58" s="70">
        <f>+F24*1000/(B31/B51)</f>
        <v>6</v>
      </c>
      <c r="C58" s="9" t="s">
        <v>19</v>
      </c>
      <c r="D58" s="4" t="s">
        <v>104</v>
      </c>
      <c r="E58" s="14">
        <f>+B9</f>
        <v>10</v>
      </c>
      <c r="F58" s="9" t="s">
        <v>19</v>
      </c>
      <c r="K58" s="78" t="s">
        <v>346</v>
      </c>
      <c r="L58" s="79">
        <v>50</v>
      </c>
      <c r="M58" s="79">
        <v>40</v>
      </c>
      <c r="N58" s="80">
        <v>6.5</v>
      </c>
      <c r="O58" s="79">
        <v>3929</v>
      </c>
      <c r="P58" s="79">
        <v>5694</v>
      </c>
      <c r="Q58" s="79"/>
      <c r="R58" s="79">
        <v>109</v>
      </c>
      <c r="S58" s="78" t="s">
        <v>318</v>
      </c>
      <c r="T58" s="89" t="s">
        <v>204</v>
      </c>
      <c r="V58" s="85">
        <v>1.6</v>
      </c>
      <c r="W58" s="86">
        <v>1000</v>
      </c>
      <c r="X58" s="85">
        <v>15.6</v>
      </c>
      <c r="Y58" s="85">
        <v>2.9</v>
      </c>
      <c r="Z58" s="86">
        <v>7000</v>
      </c>
      <c r="AA58" s="85">
        <v>42.1</v>
      </c>
      <c r="AB58" s="38">
        <v>0</v>
      </c>
      <c r="AC58" s="85">
        <v>21</v>
      </c>
      <c r="AD58" s="87">
        <v>24</v>
      </c>
      <c r="AE58" s="88">
        <v>50</v>
      </c>
      <c r="AF58" s="78" t="s">
        <v>485</v>
      </c>
    </row>
    <row r="59" spans="1:39" s="10" customFormat="1" ht="16.2" x14ac:dyDescent="0.3">
      <c r="B59" s="9"/>
      <c r="C59" s="9"/>
      <c r="D59" s="9"/>
      <c r="K59" s="78" t="s">
        <v>347</v>
      </c>
      <c r="L59" s="79">
        <v>63</v>
      </c>
      <c r="M59" s="79">
        <v>10</v>
      </c>
      <c r="N59" s="80">
        <v>6</v>
      </c>
      <c r="O59" s="79">
        <v>10878</v>
      </c>
      <c r="P59" s="79">
        <v>21867</v>
      </c>
      <c r="Q59" s="79"/>
      <c r="R59" s="79">
        <v>90</v>
      </c>
      <c r="S59" s="78" t="s">
        <v>318</v>
      </c>
      <c r="T59" s="89" t="s">
        <v>201</v>
      </c>
      <c r="U59" s="9"/>
      <c r="V59" s="85">
        <v>2.5</v>
      </c>
      <c r="W59" s="86">
        <v>1500</v>
      </c>
      <c r="X59" s="85">
        <v>15.6</v>
      </c>
      <c r="Y59" s="85">
        <v>4.3</v>
      </c>
      <c r="Z59" s="86">
        <v>7000</v>
      </c>
      <c r="AA59" s="85">
        <v>42.1</v>
      </c>
      <c r="AB59" s="38">
        <v>0</v>
      </c>
      <c r="AC59" s="85">
        <v>21</v>
      </c>
      <c r="AD59" s="87">
        <v>24</v>
      </c>
      <c r="AE59" s="88">
        <v>50</v>
      </c>
      <c r="AF59" s="78" t="s">
        <v>485</v>
      </c>
    </row>
    <row r="60" spans="1:39" x14ac:dyDescent="0.3">
      <c r="K60" s="78" t="s">
        <v>348</v>
      </c>
      <c r="L60" s="79">
        <v>63</v>
      </c>
      <c r="M60" s="79">
        <v>20</v>
      </c>
      <c r="N60" s="80">
        <v>6.5</v>
      </c>
      <c r="O60" s="79">
        <v>6510</v>
      </c>
      <c r="P60" s="79">
        <v>11439</v>
      </c>
      <c r="Q60" s="79"/>
      <c r="R60" s="79">
        <v>92</v>
      </c>
      <c r="S60" s="78" t="s">
        <v>318</v>
      </c>
      <c r="T60" s="89" t="s">
        <v>199</v>
      </c>
      <c r="V60" s="85">
        <v>3.3</v>
      </c>
      <c r="W60" s="86">
        <v>2000</v>
      </c>
      <c r="X60" s="85">
        <v>15.6</v>
      </c>
      <c r="Y60" s="85">
        <v>5.7</v>
      </c>
      <c r="Z60" s="86">
        <v>7000</v>
      </c>
      <c r="AA60" s="85">
        <v>42.1</v>
      </c>
      <c r="AB60" s="38">
        <v>0</v>
      </c>
      <c r="AC60" s="85">
        <v>21</v>
      </c>
      <c r="AD60" s="87">
        <v>24</v>
      </c>
      <c r="AE60" s="88">
        <v>50</v>
      </c>
      <c r="AF60" s="78" t="s">
        <v>485</v>
      </c>
    </row>
    <row r="61" spans="1:39" x14ac:dyDescent="0.3">
      <c r="K61" s="78" t="s">
        <v>349</v>
      </c>
      <c r="L61" s="79">
        <v>25</v>
      </c>
      <c r="M61" s="79">
        <v>5</v>
      </c>
      <c r="N61" s="80">
        <v>4</v>
      </c>
      <c r="O61" s="79">
        <v>1250</v>
      </c>
      <c r="P61" s="79">
        <v>3070</v>
      </c>
      <c r="Q61" s="79">
        <v>67</v>
      </c>
      <c r="R61" s="79">
        <v>76</v>
      </c>
      <c r="S61" s="78" t="s">
        <v>43</v>
      </c>
      <c r="T61" s="89" t="s">
        <v>195</v>
      </c>
      <c r="V61" s="85">
        <v>4.9000000000000004</v>
      </c>
      <c r="W61" s="86">
        <v>3000</v>
      </c>
      <c r="X61" s="85">
        <v>15.6</v>
      </c>
      <c r="Y61" s="85">
        <v>8.6</v>
      </c>
      <c r="Z61" s="86">
        <v>7000</v>
      </c>
      <c r="AA61" s="85">
        <v>42.1</v>
      </c>
      <c r="AB61" s="38">
        <v>0</v>
      </c>
      <c r="AC61" s="85">
        <v>21</v>
      </c>
      <c r="AD61" s="87">
        <v>24</v>
      </c>
      <c r="AE61" s="88">
        <v>50</v>
      </c>
      <c r="AF61" s="78" t="s">
        <v>485</v>
      </c>
    </row>
    <row r="62" spans="1:39" ht="16.2" x14ac:dyDescent="0.3">
      <c r="A62" s="44" t="s">
        <v>99</v>
      </c>
      <c r="B62" s="67">
        <f>+D24/$B$9</f>
        <v>20</v>
      </c>
      <c r="C62" s="9" t="s">
        <v>96</v>
      </c>
      <c r="D62" s="43">
        <f>+B62*60</f>
        <v>1200</v>
      </c>
      <c r="E62" s="9" t="s">
        <v>15</v>
      </c>
      <c r="K62" s="78" t="s">
        <v>350</v>
      </c>
      <c r="L62" s="79">
        <v>25</v>
      </c>
      <c r="M62" s="79">
        <v>6</v>
      </c>
      <c r="N62" s="80">
        <v>3.9689999999999999</v>
      </c>
      <c r="O62" s="79">
        <v>1275</v>
      </c>
      <c r="P62" s="79">
        <v>2740</v>
      </c>
      <c r="Q62" s="79">
        <v>52</v>
      </c>
      <c r="R62" s="79">
        <v>77</v>
      </c>
      <c r="S62" s="78" t="s">
        <v>43</v>
      </c>
      <c r="T62" s="89" t="s">
        <v>191</v>
      </c>
      <c r="V62" s="85">
        <v>2.5</v>
      </c>
      <c r="W62" s="86">
        <v>1000</v>
      </c>
      <c r="X62" s="85">
        <v>24</v>
      </c>
      <c r="Y62" s="85">
        <v>4.3</v>
      </c>
      <c r="Z62" s="86">
        <v>7000</v>
      </c>
      <c r="AA62" s="85">
        <v>64.8</v>
      </c>
      <c r="AB62" s="38">
        <v>0</v>
      </c>
      <c r="AC62" s="85">
        <v>24</v>
      </c>
      <c r="AD62" s="87">
        <v>24</v>
      </c>
      <c r="AE62" s="88">
        <v>50</v>
      </c>
      <c r="AF62" s="78" t="s">
        <v>485</v>
      </c>
    </row>
    <row r="63" spans="1:39" ht="16.2" x14ac:dyDescent="0.3">
      <c r="A63" s="42" t="s">
        <v>97</v>
      </c>
      <c r="B63" s="68">
        <f>+B62*B51</f>
        <v>30</v>
      </c>
      <c r="C63" s="9" t="s">
        <v>96</v>
      </c>
      <c r="D63" s="41">
        <f>+B63*60</f>
        <v>1800</v>
      </c>
      <c r="E63" s="9" t="s">
        <v>15</v>
      </c>
      <c r="K63" s="78" t="s">
        <v>351</v>
      </c>
      <c r="L63" s="79">
        <v>25</v>
      </c>
      <c r="M63" s="79">
        <v>8</v>
      </c>
      <c r="N63" s="80">
        <v>3.9689999999999999</v>
      </c>
      <c r="O63" s="79">
        <v>1275</v>
      </c>
      <c r="P63" s="79">
        <v>2740</v>
      </c>
      <c r="Q63" s="79">
        <v>52</v>
      </c>
      <c r="R63" s="79">
        <v>85</v>
      </c>
      <c r="S63" s="78" t="s">
        <v>43</v>
      </c>
      <c r="T63" s="89" t="s">
        <v>188</v>
      </c>
      <c r="V63" s="85">
        <v>3.8</v>
      </c>
      <c r="W63" s="86">
        <v>1500</v>
      </c>
      <c r="X63" s="85">
        <v>24</v>
      </c>
      <c r="Y63" s="85">
        <v>6.5</v>
      </c>
      <c r="Z63" s="86">
        <v>7000</v>
      </c>
      <c r="AA63" s="85">
        <v>64.8</v>
      </c>
      <c r="AB63" s="38">
        <v>0</v>
      </c>
      <c r="AC63" s="85">
        <v>24</v>
      </c>
      <c r="AD63" s="87">
        <v>24</v>
      </c>
      <c r="AE63" s="88">
        <v>50</v>
      </c>
      <c r="AF63" s="78" t="s">
        <v>485</v>
      </c>
    </row>
    <row r="64" spans="1:39" x14ac:dyDescent="0.3">
      <c r="K64" s="78" t="s">
        <v>352</v>
      </c>
      <c r="L64" s="79">
        <v>25</v>
      </c>
      <c r="M64" s="79">
        <v>10</v>
      </c>
      <c r="N64" s="80">
        <v>4.7619999999999996</v>
      </c>
      <c r="O64" s="79">
        <v>1140</v>
      </c>
      <c r="P64" s="79">
        <v>2140</v>
      </c>
      <c r="Q64" s="79">
        <v>36</v>
      </c>
      <c r="R64" s="79">
        <v>88</v>
      </c>
      <c r="S64" s="78" t="s">
        <v>43</v>
      </c>
      <c r="T64" s="89" t="s">
        <v>186</v>
      </c>
      <c r="V64" s="85">
        <v>5</v>
      </c>
      <c r="W64" s="86">
        <v>2000</v>
      </c>
      <c r="X64" s="85">
        <v>24</v>
      </c>
      <c r="Y64" s="85">
        <v>8.6999999999999993</v>
      </c>
      <c r="Z64" s="86">
        <v>7000</v>
      </c>
      <c r="AA64" s="85">
        <v>64.8</v>
      </c>
      <c r="AB64" s="38">
        <v>0</v>
      </c>
      <c r="AC64" s="85">
        <v>24</v>
      </c>
      <c r="AD64" s="87">
        <v>24</v>
      </c>
      <c r="AE64" s="88">
        <v>50</v>
      </c>
      <c r="AF64" s="78" t="s">
        <v>485</v>
      </c>
    </row>
    <row r="65" spans="1:32" ht="16.2" x14ac:dyDescent="0.3">
      <c r="A65" s="4" t="s">
        <v>93</v>
      </c>
      <c r="B65" s="15">
        <v>10</v>
      </c>
      <c r="C65" s="9" t="s">
        <v>38</v>
      </c>
      <c r="K65" s="78" t="s">
        <v>353</v>
      </c>
      <c r="L65" s="79">
        <v>25</v>
      </c>
      <c r="M65" s="79">
        <v>10</v>
      </c>
      <c r="N65" s="80">
        <v>4.7619999999999996</v>
      </c>
      <c r="O65" s="79">
        <v>1610</v>
      </c>
      <c r="P65" s="79">
        <v>3210</v>
      </c>
      <c r="Q65" s="79">
        <v>53</v>
      </c>
      <c r="R65" s="79">
        <v>102</v>
      </c>
      <c r="S65" s="78" t="s">
        <v>43</v>
      </c>
      <c r="T65" s="89" t="s">
        <v>183</v>
      </c>
      <c r="V65" s="85">
        <v>7.5</v>
      </c>
      <c r="W65" s="86">
        <v>3000</v>
      </c>
      <c r="X65" s="85">
        <v>24</v>
      </c>
      <c r="Y65" s="85">
        <v>13</v>
      </c>
      <c r="Z65" s="86">
        <v>7000</v>
      </c>
      <c r="AA65" s="85">
        <v>64.8</v>
      </c>
      <c r="AB65" s="38">
        <v>0</v>
      </c>
      <c r="AC65" s="85">
        <v>24</v>
      </c>
      <c r="AD65" s="87">
        <v>24</v>
      </c>
      <c r="AE65" s="88">
        <v>50</v>
      </c>
      <c r="AF65" s="78" t="s">
        <v>485</v>
      </c>
    </row>
    <row r="66" spans="1:32" ht="16.2" x14ac:dyDescent="0.3">
      <c r="A66" s="4" t="s">
        <v>91</v>
      </c>
      <c r="B66" s="15">
        <v>250</v>
      </c>
      <c r="C66" s="9" t="s">
        <v>90</v>
      </c>
      <c r="K66" s="78" t="s">
        <v>354</v>
      </c>
      <c r="L66" s="79">
        <v>28</v>
      </c>
      <c r="M66" s="79">
        <v>6</v>
      </c>
      <c r="N66" s="80">
        <v>3.1749999999999998</v>
      </c>
      <c r="O66" s="79">
        <v>1030</v>
      </c>
      <c r="P66" s="79">
        <v>2630</v>
      </c>
      <c r="Q66" s="79">
        <v>56</v>
      </c>
      <c r="R66" s="79">
        <v>69</v>
      </c>
      <c r="S66" s="78" t="s">
        <v>43</v>
      </c>
      <c r="T66" s="89" t="s">
        <v>180</v>
      </c>
      <c r="V66" s="85">
        <v>3.4</v>
      </c>
      <c r="W66" s="86">
        <v>1000</v>
      </c>
      <c r="X66" s="85">
        <v>32</v>
      </c>
      <c r="Y66" s="85">
        <v>5.9</v>
      </c>
      <c r="Z66" s="86">
        <v>7000</v>
      </c>
      <c r="AA66" s="85">
        <v>86.4</v>
      </c>
      <c r="AB66" s="38">
        <v>0</v>
      </c>
      <c r="AC66" s="85">
        <v>27</v>
      </c>
      <c r="AD66" s="87">
        <v>24</v>
      </c>
      <c r="AE66" s="88">
        <v>50</v>
      </c>
      <c r="AF66" s="78" t="s">
        <v>485</v>
      </c>
    </row>
    <row r="67" spans="1:32" ht="16.2" x14ac:dyDescent="0.3">
      <c r="A67" s="4" t="s">
        <v>88</v>
      </c>
      <c r="B67" s="15">
        <v>2</v>
      </c>
      <c r="C67" s="9" t="s">
        <v>87</v>
      </c>
      <c r="K67" s="78" t="s">
        <v>355</v>
      </c>
      <c r="L67" s="79">
        <v>28</v>
      </c>
      <c r="M67" s="79">
        <v>10</v>
      </c>
      <c r="N67" s="80">
        <v>3.1749999999999998</v>
      </c>
      <c r="O67" s="79">
        <v>730</v>
      </c>
      <c r="P67" s="79">
        <v>1750</v>
      </c>
      <c r="Q67" s="79">
        <v>38</v>
      </c>
      <c r="R67" s="79">
        <v>77</v>
      </c>
      <c r="S67" s="78" t="s">
        <v>43</v>
      </c>
      <c r="T67" s="89" t="s">
        <v>177</v>
      </c>
      <c r="V67" s="85">
        <v>5</v>
      </c>
      <c r="W67" s="86">
        <v>1500</v>
      </c>
      <c r="X67" s="85">
        <v>32</v>
      </c>
      <c r="Y67" s="85">
        <v>8.8000000000000007</v>
      </c>
      <c r="Z67" s="86">
        <v>7000</v>
      </c>
      <c r="AA67" s="85">
        <v>86.4</v>
      </c>
      <c r="AB67" s="38">
        <v>0</v>
      </c>
      <c r="AC67" s="85">
        <v>27</v>
      </c>
      <c r="AD67" s="87">
        <v>24</v>
      </c>
      <c r="AE67" s="88">
        <v>50</v>
      </c>
      <c r="AF67" s="78" t="s">
        <v>485</v>
      </c>
    </row>
    <row r="68" spans="1:32" ht="16.8" thickBot="1" x14ac:dyDescent="0.35">
      <c r="A68" s="4" t="s">
        <v>85</v>
      </c>
      <c r="B68" s="77">
        <v>0.7</v>
      </c>
      <c r="K68" s="78" t="s">
        <v>356</v>
      </c>
      <c r="L68" s="79">
        <v>32</v>
      </c>
      <c r="M68" s="79">
        <v>6</v>
      </c>
      <c r="N68" s="80">
        <v>3.9689999999999999</v>
      </c>
      <c r="O68" s="79">
        <v>1500</v>
      </c>
      <c r="P68" s="79">
        <v>3750</v>
      </c>
      <c r="Q68" s="79">
        <v>65</v>
      </c>
      <c r="R68" s="79">
        <v>77</v>
      </c>
      <c r="S68" s="78" t="s">
        <v>43</v>
      </c>
      <c r="T68" s="89" t="s">
        <v>175</v>
      </c>
      <c r="V68" s="85">
        <v>6.7</v>
      </c>
      <c r="W68" s="86">
        <v>2000</v>
      </c>
      <c r="X68" s="85">
        <v>32</v>
      </c>
      <c r="Y68" s="85">
        <v>11.7</v>
      </c>
      <c r="Z68" s="86">
        <v>7000</v>
      </c>
      <c r="AA68" s="85">
        <v>86.4</v>
      </c>
      <c r="AB68" s="38">
        <v>0</v>
      </c>
      <c r="AC68" s="85">
        <v>27</v>
      </c>
      <c r="AD68" s="87">
        <v>24</v>
      </c>
      <c r="AE68" s="88">
        <v>50</v>
      </c>
      <c r="AF68" s="78" t="s">
        <v>485</v>
      </c>
    </row>
    <row r="69" spans="1:32" ht="20.399999999999999" thickBot="1" x14ac:dyDescent="0.35">
      <c r="A69" s="75" t="s">
        <v>283</v>
      </c>
      <c r="B69" s="40">
        <f>+B65*B66*B67*B68</f>
        <v>3500</v>
      </c>
      <c r="C69" s="9" t="s">
        <v>38</v>
      </c>
      <c r="E69" s="11"/>
      <c r="F69" s="39"/>
      <c r="G69" s="11"/>
      <c r="K69" s="78" t="s">
        <v>357</v>
      </c>
      <c r="L69" s="79">
        <v>32</v>
      </c>
      <c r="M69" s="79">
        <v>6</v>
      </c>
      <c r="N69" s="80">
        <v>3.9689999999999999</v>
      </c>
      <c r="O69" s="79">
        <v>1920</v>
      </c>
      <c r="P69" s="79">
        <v>5000</v>
      </c>
      <c r="Q69" s="79">
        <v>86</v>
      </c>
      <c r="R69" s="79">
        <v>90</v>
      </c>
      <c r="S69" s="78" t="s">
        <v>43</v>
      </c>
      <c r="T69" s="89" t="s">
        <v>172</v>
      </c>
      <c r="V69" s="85">
        <v>10.1</v>
      </c>
      <c r="W69" s="86">
        <v>3000</v>
      </c>
      <c r="X69" s="85">
        <v>32</v>
      </c>
      <c r="Y69" s="85">
        <v>17.600000000000001</v>
      </c>
      <c r="Z69" s="86">
        <v>7000</v>
      </c>
      <c r="AA69" s="85">
        <v>86.4</v>
      </c>
      <c r="AB69" s="38">
        <v>0</v>
      </c>
      <c r="AC69" s="85">
        <v>27</v>
      </c>
      <c r="AD69" s="87">
        <v>24</v>
      </c>
      <c r="AE69" s="88">
        <v>50</v>
      </c>
      <c r="AF69" s="78" t="s">
        <v>485</v>
      </c>
    </row>
    <row r="70" spans="1:32" x14ac:dyDescent="0.3">
      <c r="K70" s="78" t="s">
        <v>358</v>
      </c>
      <c r="L70" s="79">
        <v>32</v>
      </c>
      <c r="M70" s="79">
        <v>10</v>
      </c>
      <c r="N70" s="80">
        <v>6.35</v>
      </c>
      <c r="O70" s="79">
        <v>2605</v>
      </c>
      <c r="P70" s="79">
        <v>5310</v>
      </c>
      <c r="Q70" s="79">
        <v>67</v>
      </c>
      <c r="R70" s="79">
        <v>120</v>
      </c>
      <c r="S70" s="78" t="s">
        <v>319</v>
      </c>
      <c r="T70" s="89" t="s">
        <v>168</v>
      </c>
      <c r="V70" s="85">
        <v>6.3</v>
      </c>
      <c r="W70" s="86">
        <v>1500</v>
      </c>
      <c r="X70" s="85">
        <v>40</v>
      </c>
      <c r="Y70" s="85">
        <v>11.2</v>
      </c>
      <c r="Z70" s="86">
        <v>7000</v>
      </c>
      <c r="AA70" s="85">
        <v>108</v>
      </c>
      <c r="AB70" s="38">
        <v>0</v>
      </c>
      <c r="AC70" s="85">
        <v>30</v>
      </c>
      <c r="AD70" s="87">
        <v>24</v>
      </c>
      <c r="AE70" s="88">
        <v>50</v>
      </c>
      <c r="AF70" s="78" t="s">
        <v>485</v>
      </c>
    </row>
    <row r="71" spans="1:32" ht="16.2" x14ac:dyDescent="0.3">
      <c r="A71" s="4" t="s">
        <v>81</v>
      </c>
      <c r="K71" s="78" t="s">
        <v>359</v>
      </c>
      <c r="L71" s="79">
        <v>32</v>
      </c>
      <c r="M71" s="79">
        <v>10</v>
      </c>
      <c r="N71" s="80">
        <v>6.35</v>
      </c>
      <c r="O71" s="79">
        <v>2605</v>
      </c>
      <c r="P71" s="79">
        <v>5310</v>
      </c>
      <c r="Q71" s="79">
        <v>67</v>
      </c>
      <c r="R71" s="79">
        <v>124</v>
      </c>
      <c r="S71" s="78" t="s">
        <v>319</v>
      </c>
      <c r="T71" s="89" t="s">
        <v>535</v>
      </c>
      <c r="V71" s="85">
        <v>12.6</v>
      </c>
      <c r="W71" s="86">
        <v>3000</v>
      </c>
      <c r="X71" s="85">
        <v>40</v>
      </c>
      <c r="Y71" s="85">
        <v>22.4</v>
      </c>
      <c r="Z71" s="86">
        <v>7000</v>
      </c>
      <c r="AA71" s="85">
        <v>108</v>
      </c>
      <c r="AB71" s="38">
        <v>0</v>
      </c>
      <c r="AC71" s="85">
        <v>30</v>
      </c>
      <c r="AD71" s="87">
        <v>24</v>
      </c>
      <c r="AE71" s="88">
        <v>50</v>
      </c>
      <c r="AF71" s="78" t="s">
        <v>485</v>
      </c>
    </row>
    <row r="72" spans="1:32" ht="16.2" x14ac:dyDescent="0.3">
      <c r="A72" s="33" t="s">
        <v>282</v>
      </c>
      <c r="B72" s="33" t="s">
        <v>79</v>
      </c>
      <c r="C72" s="33" t="s">
        <v>78</v>
      </c>
      <c r="D72" s="33" t="s">
        <v>77</v>
      </c>
      <c r="E72" s="33" t="s">
        <v>76</v>
      </c>
      <c r="F72" s="33" t="s">
        <v>75</v>
      </c>
      <c r="G72" s="33" t="s">
        <v>74</v>
      </c>
      <c r="K72" s="78" t="s">
        <v>360</v>
      </c>
      <c r="L72" s="79">
        <v>40</v>
      </c>
      <c r="M72" s="79">
        <v>5</v>
      </c>
      <c r="N72" s="80">
        <v>3.1749999999999998</v>
      </c>
      <c r="O72" s="79">
        <v>2230</v>
      </c>
      <c r="P72" s="79">
        <v>7940</v>
      </c>
      <c r="Q72" s="79">
        <v>147</v>
      </c>
      <c r="R72" s="79">
        <v>101</v>
      </c>
      <c r="S72" s="78" t="s">
        <v>319</v>
      </c>
      <c r="T72" s="89" t="s">
        <v>536</v>
      </c>
      <c r="V72" s="85">
        <v>14.25</v>
      </c>
      <c r="W72" s="86">
        <v>3000</v>
      </c>
      <c r="X72" s="85">
        <v>45</v>
      </c>
      <c r="Y72" s="85">
        <v>27</v>
      </c>
      <c r="Z72" s="86">
        <v>4000</v>
      </c>
      <c r="AA72" s="88">
        <v>121.5</v>
      </c>
      <c r="AB72" s="38">
        <v>0</v>
      </c>
      <c r="AC72" s="85">
        <v>40</v>
      </c>
      <c r="AD72" s="87">
        <v>42</v>
      </c>
      <c r="AE72" s="88">
        <v>80</v>
      </c>
      <c r="AF72" s="78" t="s">
        <v>485</v>
      </c>
    </row>
    <row r="73" spans="1:32" ht="16.2" x14ac:dyDescent="0.3">
      <c r="A73" s="33" t="s">
        <v>73</v>
      </c>
      <c r="B73" s="37">
        <f>+B74/2</f>
        <v>6</v>
      </c>
      <c r="C73" s="36">
        <f>+C74/2</f>
        <v>600</v>
      </c>
      <c r="D73" s="74">
        <f>+B2*D53*(SIN(B4*PI()/180)+COS(B4*PI()/180)*B5)+B2*D17</f>
        <v>5886</v>
      </c>
      <c r="E73" s="35">
        <f t="shared" ref="E73:E79" si="0">+F73/$F$80*100</f>
        <v>1.6666666666666667</v>
      </c>
      <c r="F73" s="32">
        <f t="shared" ref="F73:F80" si="1">+G73/60</f>
        <v>0.1</v>
      </c>
      <c r="G73" s="32">
        <v>6</v>
      </c>
      <c r="H73" s="34" t="s">
        <v>73</v>
      </c>
      <c r="K73" s="78" t="s">
        <v>361</v>
      </c>
      <c r="L73" s="79">
        <v>40</v>
      </c>
      <c r="M73" s="79">
        <v>20</v>
      </c>
      <c r="N73" s="80">
        <v>6.35</v>
      </c>
      <c r="O73" s="79">
        <v>3010</v>
      </c>
      <c r="P73" s="79">
        <v>7100</v>
      </c>
      <c r="Q73" s="79">
        <v>82</v>
      </c>
      <c r="R73" s="79">
        <v>123</v>
      </c>
      <c r="S73" s="78" t="s">
        <v>319</v>
      </c>
      <c r="T73" s="89" t="s">
        <v>160</v>
      </c>
      <c r="V73" s="85">
        <v>8.3000000000000007</v>
      </c>
      <c r="W73" s="86">
        <v>1500</v>
      </c>
      <c r="X73" s="85">
        <v>52.2</v>
      </c>
      <c r="Y73" s="85">
        <v>15.8</v>
      </c>
      <c r="Z73" s="86">
        <v>4000</v>
      </c>
      <c r="AA73" s="88">
        <v>140.9</v>
      </c>
      <c r="AB73" s="38">
        <v>0</v>
      </c>
      <c r="AC73" s="85">
        <v>50</v>
      </c>
      <c r="AD73" s="87">
        <v>42</v>
      </c>
      <c r="AE73" s="88">
        <v>80</v>
      </c>
      <c r="AF73" s="78" t="s">
        <v>485</v>
      </c>
    </row>
    <row r="74" spans="1:32" ht="16.2" x14ac:dyDescent="0.3">
      <c r="A74" s="33" t="s">
        <v>72</v>
      </c>
      <c r="B74" s="37">
        <f>+F24</f>
        <v>12</v>
      </c>
      <c r="C74" s="36">
        <f>+D62</f>
        <v>1200</v>
      </c>
      <c r="D74" s="74">
        <f>+B2*D53*(SIN(B4*PI()/180)+COS(B4*PI()/180)*B5)</f>
        <v>4905</v>
      </c>
      <c r="E74" s="35">
        <f t="shared" si="0"/>
        <v>16.666666666666664</v>
      </c>
      <c r="F74" s="32">
        <f t="shared" si="1"/>
        <v>1</v>
      </c>
      <c r="G74" s="32">
        <v>60</v>
      </c>
      <c r="H74" s="34" t="s">
        <v>72</v>
      </c>
      <c r="K74" s="78" t="s">
        <v>362</v>
      </c>
      <c r="L74" s="79">
        <v>45</v>
      </c>
      <c r="M74" s="79">
        <v>10</v>
      </c>
      <c r="N74" s="80">
        <v>6.35</v>
      </c>
      <c r="O74" s="79">
        <v>3850</v>
      </c>
      <c r="P74" s="79">
        <v>9470</v>
      </c>
      <c r="Q74" s="79">
        <v>107</v>
      </c>
      <c r="R74" s="79">
        <v>143</v>
      </c>
      <c r="S74" s="78" t="s">
        <v>43</v>
      </c>
      <c r="T74" s="89" t="s">
        <v>537</v>
      </c>
      <c r="V74" s="85">
        <v>16.5</v>
      </c>
      <c r="W74" s="86">
        <v>3000</v>
      </c>
      <c r="X74" s="85">
        <v>52.2</v>
      </c>
      <c r="Y74" s="85">
        <v>31.5</v>
      </c>
      <c r="Z74" s="86">
        <v>4000</v>
      </c>
      <c r="AA74" s="88">
        <v>140.9</v>
      </c>
      <c r="AB74" s="38">
        <v>0</v>
      </c>
      <c r="AC74" s="85">
        <v>50</v>
      </c>
      <c r="AD74" s="87">
        <v>42</v>
      </c>
      <c r="AE74" s="88">
        <v>80</v>
      </c>
      <c r="AF74" s="78" t="s">
        <v>485</v>
      </c>
    </row>
    <row r="75" spans="1:32" ht="16.2" x14ac:dyDescent="0.3">
      <c r="A75" s="33" t="s">
        <v>71</v>
      </c>
      <c r="B75" s="37">
        <f>+B73</f>
        <v>6</v>
      </c>
      <c r="C75" s="36">
        <f>+C74/2</f>
        <v>600</v>
      </c>
      <c r="D75" s="74">
        <f>+B2*D53*(SIN(B4*PI()/180)+COS(B4*PI()/180)*B5)-B2*D17</f>
        <v>3924</v>
      </c>
      <c r="E75" s="35">
        <f t="shared" si="0"/>
        <v>8.3333333333333321</v>
      </c>
      <c r="F75" s="32">
        <f t="shared" si="1"/>
        <v>0.5</v>
      </c>
      <c r="G75" s="32">
        <v>30</v>
      </c>
      <c r="H75" s="34" t="s">
        <v>71</v>
      </c>
      <c r="K75" s="78" t="s">
        <v>363</v>
      </c>
      <c r="L75" s="79">
        <v>45</v>
      </c>
      <c r="M75" s="79">
        <v>12</v>
      </c>
      <c r="N75" s="80">
        <v>6.35</v>
      </c>
      <c r="O75" s="79">
        <v>3850</v>
      </c>
      <c r="P75" s="79">
        <v>9470</v>
      </c>
      <c r="Q75" s="79">
        <v>107</v>
      </c>
      <c r="R75" s="79">
        <v>160</v>
      </c>
      <c r="S75" s="78" t="s">
        <v>43</v>
      </c>
      <c r="T75" s="89" t="s">
        <v>158</v>
      </c>
      <c r="V75" s="85">
        <v>11.3</v>
      </c>
      <c r="W75" s="86">
        <v>1500</v>
      </c>
      <c r="X75" s="85">
        <v>71.3</v>
      </c>
      <c r="Y75" s="85">
        <v>21</v>
      </c>
      <c r="Z75" s="86">
        <v>4000</v>
      </c>
      <c r="AA75" s="88">
        <v>192.4</v>
      </c>
      <c r="AB75" s="38">
        <v>0</v>
      </c>
      <c r="AC75" s="85">
        <v>60</v>
      </c>
      <c r="AD75" s="87">
        <v>42</v>
      </c>
      <c r="AE75" s="88">
        <v>80</v>
      </c>
      <c r="AF75" s="78" t="s">
        <v>485</v>
      </c>
    </row>
    <row r="76" spans="1:32" ht="16.2" x14ac:dyDescent="0.3">
      <c r="A76" s="33" t="s">
        <v>70</v>
      </c>
      <c r="B76" s="37">
        <f>+B77/2</f>
        <v>6</v>
      </c>
      <c r="C76" s="36">
        <f>+C77/2</f>
        <v>600</v>
      </c>
      <c r="D76" s="74">
        <f>+B2*D53*(SIN(B4*PI()/180)-COS(B4*PI()/180)*B5)+B2*D17</f>
        <v>5886</v>
      </c>
      <c r="E76" s="35">
        <f t="shared" si="0"/>
        <v>1.6666666666666667</v>
      </c>
      <c r="F76" s="32">
        <f t="shared" si="1"/>
        <v>0.1</v>
      </c>
      <c r="G76" s="32">
        <v>6</v>
      </c>
      <c r="H76" s="34" t="s">
        <v>70</v>
      </c>
      <c r="K76" s="78" t="s">
        <v>364</v>
      </c>
      <c r="L76" s="79">
        <v>50</v>
      </c>
      <c r="M76" s="79">
        <v>10</v>
      </c>
      <c r="N76" s="80">
        <v>6.35</v>
      </c>
      <c r="O76" s="79">
        <v>3430</v>
      </c>
      <c r="P76" s="79">
        <v>9300</v>
      </c>
      <c r="Q76" s="79">
        <v>99</v>
      </c>
      <c r="R76" s="79">
        <v>123</v>
      </c>
      <c r="S76" s="78" t="s">
        <v>43</v>
      </c>
      <c r="T76" s="89" t="s">
        <v>538</v>
      </c>
      <c r="V76" s="85">
        <v>22.5</v>
      </c>
      <c r="W76" s="86">
        <v>3000</v>
      </c>
      <c r="X76" s="85">
        <v>71.3</v>
      </c>
      <c r="Y76" s="85">
        <v>42</v>
      </c>
      <c r="Z76" s="86">
        <v>4000</v>
      </c>
      <c r="AA76" s="88">
        <v>192.4</v>
      </c>
      <c r="AB76" s="38">
        <v>0</v>
      </c>
      <c r="AC76" s="85">
        <v>60</v>
      </c>
      <c r="AD76" s="87">
        <v>42</v>
      </c>
      <c r="AE76" s="88">
        <v>80</v>
      </c>
      <c r="AF76" s="78" t="s">
        <v>485</v>
      </c>
    </row>
    <row r="77" spans="1:32" ht="16.2" x14ac:dyDescent="0.3">
      <c r="A77" s="33" t="s">
        <v>69</v>
      </c>
      <c r="B77" s="37">
        <f>+F24</f>
        <v>12</v>
      </c>
      <c r="C77" s="36">
        <f>+D62</f>
        <v>1200</v>
      </c>
      <c r="D77" s="74">
        <f>+B2*D53*(SIN(B4*PI()/180)-COS(B4*PI()/180)*B5)</f>
        <v>4905</v>
      </c>
      <c r="E77" s="35">
        <f t="shared" si="0"/>
        <v>16.666666666666664</v>
      </c>
      <c r="F77" s="32">
        <f t="shared" si="1"/>
        <v>1</v>
      </c>
      <c r="G77" s="32">
        <v>60</v>
      </c>
      <c r="H77" s="34" t="s">
        <v>69</v>
      </c>
      <c r="K77" s="78" t="s">
        <v>365</v>
      </c>
      <c r="L77" s="79">
        <v>50</v>
      </c>
      <c r="M77" s="79">
        <v>10</v>
      </c>
      <c r="N77" s="80">
        <v>6.35</v>
      </c>
      <c r="O77" s="79">
        <v>4390</v>
      </c>
      <c r="P77" s="79">
        <v>12400</v>
      </c>
      <c r="Q77" s="79">
        <v>129</v>
      </c>
      <c r="R77" s="79">
        <v>143</v>
      </c>
      <c r="S77" s="78" t="s">
        <v>43</v>
      </c>
      <c r="T77" s="89" t="s">
        <v>156</v>
      </c>
      <c r="V77" s="85">
        <v>13.9</v>
      </c>
      <c r="W77" s="86">
        <v>1500</v>
      </c>
      <c r="X77" s="85">
        <v>87.8</v>
      </c>
      <c r="Y77" s="85">
        <v>26.3</v>
      </c>
      <c r="Z77" s="86">
        <v>4000</v>
      </c>
      <c r="AA77" s="88">
        <v>237.1</v>
      </c>
      <c r="AB77" s="38">
        <v>0</v>
      </c>
      <c r="AC77" s="85">
        <v>70</v>
      </c>
      <c r="AD77" s="87">
        <v>42</v>
      </c>
      <c r="AE77" s="88">
        <v>80</v>
      </c>
      <c r="AF77" s="78" t="s">
        <v>485</v>
      </c>
    </row>
    <row r="78" spans="1:32" ht="16.2" x14ac:dyDescent="0.3">
      <c r="A78" s="33" t="s">
        <v>68</v>
      </c>
      <c r="B78" s="37">
        <f>+B76</f>
        <v>6</v>
      </c>
      <c r="C78" s="36">
        <f>+C77/2</f>
        <v>600</v>
      </c>
      <c r="D78" s="74">
        <f>+B2*D53*(SIN(B4*PI()/180)-COS(B4*PI()/180)*B5)-B2*D17</f>
        <v>3924</v>
      </c>
      <c r="E78" s="35">
        <f t="shared" si="0"/>
        <v>8.3333333333333321</v>
      </c>
      <c r="F78" s="32">
        <f t="shared" si="1"/>
        <v>0.5</v>
      </c>
      <c r="G78" s="32">
        <v>30</v>
      </c>
      <c r="H78" s="34" t="s">
        <v>68</v>
      </c>
      <c r="K78" s="78" t="s">
        <v>366</v>
      </c>
      <c r="L78" s="79">
        <v>63</v>
      </c>
      <c r="M78" s="79">
        <v>10</v>
      </c>
      <c r="N78" s="80">
        <v>6.35</v>
      </c>
      <c r="O78" s="79">
        <v>5020</v>
      </c>
      <c r="P78" s="79">
        <v>16450</v>
      </c>
      <c r="Q78" s="79">
        <v>158</v>
      </c>
      <c r="R78" s="79">
        <v>147</v>
      </c>
      <c r="S78" s="78" t="s">
        <v>43</v>
      </c>
      <c r="T78" s="89" t="s">
        <v>539</v>
      </c>
      <c r="V78" s="85">
        <v>27.75</v>
      </c>
      <c r="W78" s="86">
        <v>3000</v>
      </c>
      <c r="X78" s="85">
        <v>87.8</v>
      </c>
      <c r="Y78" s="85">
        <v>52.5</v>
      </c>
      <c r="Z78" s="86">
        <v>4000</v>
      </c>
      <c r="AA78" s="88">
        <v>237.1</v>
      </c>
      <c r="AB78" s="38">
        <v>0</v>
      </c>
      <c r="AC78" s="85">
        <v>70</v>
      </c>
      <c r="AD78" s="87">
        <v>42</v>
      </c>
      <c r="AE78" s="88">
        <v>80</v>
      </c>
      <c r="AF78" s="78" t="s">
        <v>485</v>
      </c>
    </row>
    <row r="79" spans="1:32" ht="16.2" x14ac:dyDescent="0.3">
      <c r="A79" s="33" t="s">
        <v>67</v>
      </c>
      <c r="B79" s="37">
        <v>0</v>
      </c>
      <c r="C79" s="36">
        <v>0</v>
      </c>
      <c r="D79" s="74">
        <f>+B2*D53*(SIN(B4*PI()/180)-COS(B4*PI()/180)*B5)-B2*0</f>
        <v>4905</v>
      </c>
      <c r="E79" s="35">
        <f t="shared" si="0"/>
        <v>46.666666666666664</v>
      </c>
      <c r="F79" s="32">
        <f t="shared" si="1"/>
        <v>2.8</v>
      </c>
      <c r="G79" s="32">
        <f>2*60+48</f>
        <v>168</v>
      </c>
      <c r="H79" s="34" t="s">
        <v>67</v>
      </c>
      <c r="K79" s="78" t="s">
        <v>367</v>
      </c>
      <c r="L79" s="79">
        <v>63</v>
      </c>
      <c r="M79" s="79">
        <v>12</v>
      </c>
      <c r="N79" s="80">
        <v>7.9379999999999997</v>
      </c>
      <c r="O79" s="79">
        <v>5140</v>
      </c>
      <c r="P79" s="79">
        <v>14570</v>
      </c>
      <c r="Q79" s="79">
        <v>122</v>
      </c>
      <c r="R79" s="79">
        <v>147</v>
      </c>
      <c r="S79" s="78" t="s">
        <v>43</v>
      </c>
      <c r="T79" s="89" t="s">
        <v>154</v>
      </c>
      <c r="V79" s="85">
        <v>16.5</v>
      </c>
      <c r="W79" s="86">
        <v>1500</v>
      </c>
      <c r="X79" s="85">
        <v>104</v>
      </c>
      <c r="Y79" s="85">
        <v>31.2</v>
      </c>
      <c r="Z79" s="86">
        <v>4000</v>
      </c>
      <c r="AA79" s="88">
        <v>280.8</v>
      </c>
      <c r="AB79" s="38">
        <v>0</v>
      </c>
      <c r="AC79" s="85">
        <v>80</v>
      </c>
      <c r="AD79" s="87">
        <v>42</v>
      </c>
      <c r="AE79" s="88">
        <v>80</v>
      </c>
      <c r="AF79" s="78" t="s">
        <v>485</v>
      </c>
    </row>
    <row r="80" spans="1:32" x14ac:dyDescent="0.3">
      <c r="E80" s="16">
        <f>SUM(E73:E79)</f>
        <v>100</v>
      </c>
      <c r="F80" s="16">
        <f t="shared" si="1"/>
        <v>6</v>
      </c>
      <c r="G80" s="16">
        <f>SUM(G73:G79)</f>
        <v>360</v>
      </c>
      <c r="K80" s="78" t="s">
        <v>368</v>
      </c>
      <c r="L80" s="79">
        <v>63</v>
      </c>
      <c r="M80" s="79">
        <v>12</v>
      </c>
      <c r="N80" s="80">
        <v>7.9379999999999997</v>
      </c>
      <c r="O80" s="79">
        <v>6580</v>
      </c>
      <c r="P80" s="79">
        <v>19430</v>
      </c>
      <c r="Q80" s="79">
        <v>161</v>
      </c>
      <c r="R80" s="79">
        <v>171</v>
      </c>
      <c r="S80" s="78" t="s">
        <v>43</v>
      </c>
      <c r="T80" s="89" t="s">
        <v>540</v>
      </c>
      <c r="V80" s="85">
        <v>33</v>
      </c>
      <c r="W80" s="86">
        <v>3000</v>
      </c>
      <c r="X80" s="85">
        <v>104</v>
      </c>
      <c r="Y80" s="85">
        <v>62.4</v>
      </c>
      <c r="Z80" s="86">
        <v>4000</v>
      </c>
      <c r="AA80" s="88">
        <v>280.8</v>
      </c>
      <c r="AB80" s="38">
        <v>0</v>
      </c>
      <c r="AC80" s="85">
        <v>80</v>
      </c>
      <c r="AD80" s="87">
        <v>42</v>
      </c>
      <c r="AE80" s="88">
        <v>80</v>
      </c>
      <c r="AF80" s="78" t="s">
        <v>485</v>
      </c>
    </row>
    <row r="81" spans="1:32" x14ac:dyDescent="0.3">
      <c r="E81" s="16"/>
      <c r="F81" s="16"/>
      <c r="G81" s="16"/>
      <c r="K81" s="78" t="s">
        <v>369</v>
      </c>
      <c r="L81" s="79">
        <v>63</v>
      </c>
      <c r="M81" s="79">
        <v>20</v>
      </c>
      <c r="N81" s="80">
        <v>9.5250000000000004</v>
      </c>
      <c r="O81" s="79">
        <v>5990</v>
      </c>
      <c r="P81" s="79">
        <v>15740</v>
      </c>
      <c r="Q81" s="79">
        <v>107</v>
      </c>
      <c r="R81" s="79">
        <v>95</v>
      </c>
      <c r="S81" s="78" t="s">
        <v>43</v>
      </c>
      <c r="T81" s="89" t="s">
        <v>151</v>
      </c>
      <c r="V81" s="85">
        <v>19.5</v>
      </c>
      <c r="W81" s="86">
        <v>1500</v>
      </c>
      <c r="X81" s="85">
        <v>124</v>
      </c>
      <c r="Y81" s="85">
        <v>37</v>
      </c>
      <c r="Z81" s="86">
        <v>4000</v>
      </c>
      <c r="AA81" s="88">
        <v>334.8</v>
      </c>
      <c r="AB81" s="38">
        <v>0</v>
      </c>
      <c r="AC81" s="85">
        <v>100</v>
      </c>
      <c r="AD81" s="87">
        <v>42</v>
      </c>
      <c r="AE81" s="88">
        <v>80</v>
      </c>
      <c r="AF81" s="78" t="s">
        <v>485</v>
      </c>
    </row>
    <row r="82" spans="1:32" ht="16.2" x14ac:dyDescent="0.3">
      <c r="A82" s="4" t="s">
        <v>66</v>
      </c>
      <c r="E82" s="16"/>
      <c r="F82" s="16"/>
      <c r="G82" s="16"/>
      <c r="K82" s="78" t="s">
        <v>370</v>
      </c>
      <c r="L82" s="79">
        <v>80</v>
      </c>
      <c r="M82" s="79">
        <v>10</v>
      </c>
      <c r="N82" s="80">
        <v>6.35</v>
      </c>
      <c r="O82" s="79">
        <v>4760</v>
      </c>
      <c r="P82" s="79">
        <v>20090</v>
      </c>
      <c r="Q82" s="79">
        <v>173</v>
      </c>
      <c r="R82" s="79">
        <v>115</v>
      </c>
      <c r="S82" s="78" t="s">
        <v>43</v>
      </c>
      <c r="T82" s="89" t="s">
        <v>541</v>
      </c>
      <c r="V82" s="85">
        <v>39</v>
      </c>
      <c r="W82" s="86">
        <v>3000</v>
      </c>
      <c r="X82" s="85">
        <v>124</v>
      </c>
      <c r="Y82" s="85">
        <v>75</v>
      </c>
      <c r="Z82" s="86">
        <v>4000</v>
      </c>
      <c r="AA82" s="88">
        <v>334.8</v>
      </c>
      <c r="AB82" s="38">
        <v>0</v>
      </c>
      <c r="AC82" s="85">
        <v>100</v>
      </c>
      <c r="AD82" s="87">
        <v>42</v>
      </c>
      <c r="AE82" s="88">
        <v>80</v>
      </c>
      <c r="AF82" s="78" t="s">
        <v>485</v>
      </c>
    </row>
    <row r="83" spans="1:32" ht="19.8" x14ac:dyDescent="0.3">
      <c r="A83" s="4" t="s">
        <v>62</v>
      </c>
      <c r="B83" s="11">
        <f>+B14/60</f>
        <v>7.7</v>
      </c>
      <c r="C83" s="9" t="s">
        <v>19</v>
      </c>
      <c r="D83" s="4" t="s">
        <v>64</v>
      </c>
      <c r="E83" s="14">
        <f>+$B$8</f>
        <v>20</v>
      </c>
      <c r="F83" s="9" t="s">
        <v>19</v>
      </c>
      <c r="G83" s="16"/>
      <c r="K83" s="78" t="s">
        <v>371</v>
      </c>
      <c r="L83" s="79">
        <v>80</v>
      </c>
      <c r="M83" s="79">
        <v>16</v>
      </c>
      <c r="N83" s="80">
        <v>9.5250000000000004</v>
      </c>
      <c r="O83" s="79">
        <v>11280</v>
      </c>
      <c r="P83" s="79">
        <v>41220</v>
      </c>
      <c r="Q83" s="79">
        <v>201</v>
      </c>
      <c r="R83" s="79">
        <v>175</v>
      </c>
      <c r="S83" s="78" t="s">
        <v>43</v>
      </c>
      <c r="T83" s="89" t="s">
        <v>149</v>
      </c>
      <c r="V83" s="85">
        <v>22.5</v>
      </c>
      <c r="W83" s="86">
        <v>1500</v>
      </c>
      <c r="X83" s="85">
        <v>142</v>
      </c>
      <c r="Y83" s="85">
        <v>42.6</v>
      </c>
      <c r="Z83" s="86">
        <v>4000</v>
      </c>
      <c r="AA83" s="88">
        <v>383.4</v>
      </c>
      <c r="AB83" s="38">
        <v>0</v>
      </c>
      <c r="AC83" s="85">
        <v>110</v>
      </c>
      <c r="AD83" s="87">
        <v>42</v>
      </c>
      <c r="AE83" s="88">
        <v>80</v>
      </c>
      <c r="AF83" s="78" t="s">
        <v>485</v>
      </c>
    </row>
    <row r="84" spans="1:32" ht="16.2" x14ac:dyDescent="0.3">
      <c r="A84" s="4"/>
      <c r="E84" s="16"/>
      <c r="F84" s="16"/>
      <c r="G84" s="16"/>
      <c r="K84" s="78" t="s">
        <v>372</v>
      </c>
      <c r="L84" s="79">
        <v>80</v>
      </c>
      <c r="M84" s="79">
        <v>16</v>
      </c>
      <c r="N84" s="80">
        <v>9.5250000000000004</v>
      </c>
      <c r="O84" s="79">
        <v>7960</v>
      </c>
      <c r="P84" s="79">
        <v>27480</v>
      </c>
      <c r="Q84" s="79">
        <v>137</v>
      </c>
      <c r="R84" s="79">
        <v>159</v>
      </c>
      <c r="S84" s="78" t="s">
        <v>43</v>
      </c>
      <c r="T84" s="89" t="s">
        <v>542</v>
      </c>
      <c r="V84" s="85">
        <v>45</v>
      </c>
      <c r="W84" s="86">
        <v>3000</v>
      </c>
      <c r="X84" s="85">
        <v>142</v>
      </c>
      <c r="Y84" s="85">
        <v>85.2</v>
      </c>
      <c r="Z84" s="86">
        <v>4000</v>
      </c>
      <c r="AA84" s="88">
        <v>383.4</v>
      </c>
      <c r="AB84" s="38">
        <v>0</v>
      </c>
      <c r="AC84" s="85">
        <v>110</v>
      </c>
      <c r="AD84" s="87">
        <v>42</v>
      </c>
      <c r="AE84" s="88">
        <v>80</v>
      </c>
      <c r="AF84" s="78" t="s">
        <v>485</v>
      </c>
    </row>
    <row r="85" spans="1:32" ht="16.2" x14ac:dyDescent="0.3">
      <c r="A85" s="10"/>
      <c r="E85" s="16"/>
      <c r="F85" s="16"/>
      <c r="G85" s="16"/>
      <c r="K85" s="78" t="s">
        <v>373</v>
      </c>
      <c r="L85" s="79">
        <v>16</v>
      </c>
      <c r="M85" s="79">
        <v>5</v>
      </c>
      <c r="N85" s="80">
        <v>3</v>
      </c>
      <c r="O85" s="79">
        <v>890</v>
      </c>
      <c r="P85" s="79">
        <v>1760</v>
      </c>
      <c r="Q85" s="79">
        <v>27</v>
      </c>
      <c r="R85" s="79">
        <v>41</v>
      </c>
      <c r="S85" s="78" t="s">
        <v>43</v>
      </c>
      <c r="T85" s="89" t="s">
        <v>147</v>
      </c>
      <c r="V85" s="85">
        <v>17</v>
      </c>
      <c r="W85" s="86">
        <v>1500</v>
      </c>
      <c r="X85" s="85">
        <v>105</v>
      </c>
      <c r="Y85" s="85">
        <v>31.5</v>
      </c>
      <c r="Z85" s="86">
        <v>4000</v>
      </c>
      <c r="AA85" s="88">
        <v>210</v>
      </c>
      <c r="AB85" s="38">
        <v>0</v>
      </c>
      <c r="AC85" s="85">
        <v>118</v>
      </c>
      <c r="AD85" s="87">
        <v>48</v>
      </c>
      <c r="AE85" s="88">
        <v>110</v>
      </c>
      <c r="AF85" s="78" t="s">
        <v>485</v>
      </c>
    </row>
    <row r="86" spans="1:32" x14ac:dyDescent="0.3">
      <c r="E86" s="16"/>
      <c r="F86" s="16"/>
      <c r="G86" s="16"/>
      <c r="K86" s="78" t="s">
        <v>374</v>
      </c>
      <c r="L86" s="79">
        <v>20</v>
      </c>
      <c r="M86" s="79">
        <v>10</v>
      </c>
      <c r="N86" s="80">
        <v>3.1749999999999998</v>
      </c>
      <c r="O86" s="79">
        <v>990</v>
      </c>
      <c r="P86" s="79">
        <v>2220</v>
      </c>
      <c r="Q86" s="79">
        <v>33</v>
      </c>
      <c r="R86" s="79">
        <v>47</v>
      </c>
      <c r="S86" s="78" t="s">
        <v>319</v>
      </c>
      <c r="T86" s="89" t="s">
        <v>543</v>
      </c>
      <c r="V86" s="85">
        <v>33.700000000000003</v>
      </c>
      <c r="W86" s="86">
        <v>3000</v>
      </c>
      <c r="X86" s="85">
        <v>105</v>
      </c>
      <c r="Y86" s="85">
        <v>63</v>
      </c>
      <c r="Z86" s="86">
        <v>4000</v>
      </c>
      <c r="AA86" s="88">
        <v>210</v>
      </c>
      <c r="AB86" s="38">
        <v>0</v>
      </c>
      <c r="AC86" s="85">
        <v>118</v>
      </c>
      <c r="AD86" s="87">
        <v>48</v>
      </c>
      <c r="AE86" s="88">
        <v>110</v>
      </c>
      <c r="AF86" s="78" t="s">
        <v>485</v>
      </c>
    </row>
    <row r="87" spans="1:32" x14ac:dyDescent="0.3">
      <c r="E87" s="16"/>
      <c r="F87" s="16"/>
      <c r="G87" s="16"/>
      <c r="K87" s="78" t="s">
        <v>375</v>
      </c>
      <c r="L87" s="79">
        <v>20</v>
      </c>
      <c r="M87" s="79">
        <v>10</v>
      </c>
      <c r="N87" s="80">
        <v>4.7619999999999996</v>
      </c>
      <c r="O87" s="79">
        <v>2560</v>
      </c>
      <c r="P87" s="79">
        <v>5530</v>
      </c>
      <c r="Q87" s="79">
        <v>47</v>
      </c>
      <c r="R87" s="79">
        <v>62</v>
      </c>
      <c r="S87" s="9" t="s">
        <v>51</v>
      </c>
      <c r="T87" s="89" t="s">
        <v>144</v>
      </c>
      <c r="V87" s="85">
        <v>24</v>
      </c>
      <c r="W87" s="86">
        <v>1500</v>
      </c>
      <c r="X87" s="85">
        <v>153</v>
      </c>
      <c r="Y87" s="85">
        <v>46.5</v>
      </c>
      <c r="Z87" s="86">
        <v>4000</v>
      </c>
      <c r="AA87" s="88">
        <v>306</v>
      </c>
      <c r="AB87" s="38">
        <v>0</v>
      </c>
      <c r="AC87" s="85">
        <v>138</v>
      </c>
      <c r="AD87" s="87">
        <v>48</v>
      </c>
      <c r="AE87" s="88">
        <v>110</v>
      </c>
      <c r="AF87" s="78" t="s">
        <v>485</v>
      </c>
    </row>
    <row r="88" spans="1:32" ht="16.2" x14ac:dyDescent="0.3">
      <c r="A88" s="4" t="s">
        <v>65</v>
      </c>
      <c r="D88" s="11"/>
      <c r="E88" s="16"/>
      <c r="F88" s="16"/>
      <c r="G88" s="16"/>
      <c r="K88" s="78" t="s">
        <v>376</v>
      </c>
      <c r="L88" s="79">
        <v>20</v>
      </c>
      <c r="M88" s="79">
        <v>20</v>
      </c>
      <c r="N88" s="80">
        <v>3.1749999999999998</v>
      </c>
      <c r="O88" s="79">
        <v>670</v>
      </c>
      <c r="P88" s="79">
        <v>1450</v>
      </c>
      <c r="Q88" s="79">
        <v>23</v>
      </c>
      <c r="R88" s="79">
        <v>56</v>
      </c>
      <c r="S88" s="78" t="s">
        <v>319</v>
      </c>
      <c r="T88" s="89" t="s">
        <v>544</v>
      </c>
      <c r="V88" s="85">
        <v>48</v>
      </c>
      <c r="W88" s="86">
        <v>3000</v>
      </c>
      <c r="X88" s="85">
        <v>153</v>
      </c>
      <c r="Y88" s="85">
        <v>91.5</v>
      </c>
      <c r="Z88" s="86">
        <v>4000</v>
      </c>
      <c r="AA88" s="88">
        <v>306</v>
      </c>
      <c r="AB88" s="38">
        <v>0</v>
      </c>
      <c r="AC88" s="85">
        <v>138</v>
      </c>
      <c r="AD88" s="87">
        <v>48</v>
      </c>
      <c r="AE88" s="88">
        <v>110</v>
      </c>
      <c r="AF88" s="78" t="s">
        <v>485</v>
      </c>
    </row>
    <row r="89" spans="1:32" ht="19.8" x14ac:dyDescent="0.3">
      <c r="A89" s="4" t="s">
        <v>62</v>
      </c>
      <c r="B89" s="11">
        <f>+(MAX(D73:D79)*B14^2/(B98*D53*10^3))^(1/4)</f>
        <v>10.585436163275741</v>
      </c>
      <c r="C89" s="9" t="s">
        <v>19</v>
      </c>
      <c r="D89" s="4" t="s">
        <v>64</v>
      </c>
      <c r="E89" s="14">
        <f>+$B$8</f>
        <v>20</v>
      </c>
      <c r="F89" s="9" t="s">
        <v>19</v>
      </c>
      <c r="G89" s="16"/>
      <c r="K89" s="78" t="s">
        <v>377</v>
      </c>
      <c r="L89" s="79">
        <v>25</v>
      </c>
      <c r="M89" s="79">
        <v>10</v>
      </c>
      <c r="N89" s="80">
        <v>3.1749999999999998</v>
      </c>
      <c r="O89" s="79">
        <v>1100</v>
      </c>
      <c r="P89" s="79">
        <v>2810</v>
      </c>
      <c r="Q89" s="79">
        <v>38</v>
      </c>
      <c r="R89" s="79">
        <v>50</v>
      </c>
      <c r="S89" s="78" t="s">
        <v>319</v>
      </c>
      <c r="T89" s="89" t="s">
        <v>141</v>
      </c>
      <c r="V89" s="85">
        <v>33.799999999999997</v>
      </c>
      <c r="W89" s="86">
        <v>1500</v>
      </c>
      <c r="X89" s="85">
        <v>215</v>
      </c>
      <c r="Y89" s="85">
        <v>64.5</v>
      </c>
      <c r="Z89" s="86">
        <v>4000</v>
      </c>
      <c r="AA89" s="88">
        <v>430</v>
      </c>
      <c r="AB89" s="38">
        <v>0</v>
      </c>
      <c r="AC89" s="85">
        <v>158</v>
      </c>
      <c r="AD89" s="87">
        <v>48</v>
      </c>
      <c r="AE89" s="88">
        <v>110</v>
      </c>
      <c r="AF89" s="78" t="s">
        <v>485</v>
      </c>
    </row>
    <row r="90" spans="1:32" x14ac:dyDescent="0.3">
      <c r="E90" s="16"/>
      <c r="F90" s="16"/>
      <c r="G90" s="16"/>
      <c r="K90" s="78" t="s">
        <v>378</v>
      </c>
      <c r="L90" s="79">
        <v>25</v>
      </c>
      <c r="M90" s="79">
        <v>10</v>
      </c>
      <c r="N90" s="80">
        <v>4.7619999999999996</v>
      </c>
      <c r="O90" s="79">
        <v>2880</v>
      </c>
      <c r="P90" s="79">
        <v>6870</v>
      </c>
      <c r="Q90" s="79">
        <v>55</v>
      </c>
      <c r="R90" s="79">
        <v>63</v>
      </c>
      <c r="S90" s="78" t="s">
        <v>319</v>
      </c>
      <c r="T90" s="89" t="s">
        <v>545</v>
      </c>
      <c r="V90" s="85">
        <v>67.5</v>
      </c>
      <c r="W90" s="86">
        <v>3000</v>
      </c>
      <c r="X90" s="85">
        <v>215</v>
      </c>
      <c r="Y90" s="85">
        <v>129</v>
      </c>
      <c r="Z90" s="86">
        <v>4000</v>
      </c>
      <c r="AA90" s="88">
        <v>430</v>
      </c>
      <c r="AB90" s="38">
        <v>0</v>
      </c>
      <c r="AC90" s="85">
        <v>158</v>
      </c>
      <c r="AD90" s="87">
        <v>48</v>
      </c>
      <c r="AE90" s="88">
        <v>110</v>
      </c>
      <c r="AF90" s="78" t="s">
        <v>485</v>
      </c>
    </row>
    <row r="91" spans="1:32" x14ac:dyDescent="0.3">
      <c r="E91" s="16"/>
      <c r="F91" s="16"/>
      <c r="G91" s="16"/>
      <c r="K91" s="78" t="s">
        <v>379</v>
      </c>
      <c r="L91" s="79">
        <v>25</v>
      </c>
      <c r="M91" s="79">
        <v>10</v>
      </c>
      <c r="N91" s="80">
        <v>6.35</v>
      </c>
      <c r="O91" s="79">
        <v>5050</v>
      </c>
      <c r="P91" s="79">
        <v>11500</v>
      </c>
      <c r="Q91" s="79">
        <v>72</v>
      </c>
      <c r="R91" s="79">
        <v>78</v>
      </c>
      <c r="S91" s="78" t="s">
        <v>319</v>
      </c>
      <c r="T91" s="89" t="s">
        <v>139</v>
      </c>
      <c r="V91" s="85">
        <v>41.3</v>
      </c>
      <c r="W91" s="86">
        <v>1500</v>
      </c>
      <c r="X91" s="85">
        <v>263</v>
      </c>
      <c r="Y91" s="85">
        <v>78.900000000000006</v>
      </c>
      <c r="Z91" s="86">
        <v>4000</v>
      </c>
      <c r="AA91" s="88">
        <v>526</v>
      </c>
      <c r="AB91" s="38">
        <v>0</v>
      </c>
      <c r="AC91" s="85">
        <v>178</v>
      </c>
      <c r="AD91" s="87">
        <v>48</v>
      </c>
      <c r="AE91" s="88">
        <v>110</v>
      </c>
      <c r="AF91" s="78" t="s">
        <v>485</v>
      </c>
    </row>
    <row r="92" spans="1:32" ht="16.2" x14ac:dyDescent="0.3">
      <c r="A92" s="4" t="s">
        <v>60</v>
      </c>
      <c r="B92" s="10"/>
      <c r="E92" s="16"/>
      <c r="F92" s="16"/>
      <c r="G92" s="16"/>
      <c r="K92" s="78" t="s">
        <v>380</v>
      </c>
      <c r="L92" s="79">
        <v>25</v>
      </c>
      <c r="M92" s="79">
        <v>15</v>
      </c>
      <c r="N92" s="80">
        <v>3.1749999999999998</v>
      </c>
      <c r="O92" s="79">
        <v>1410</v>
      </c>
      <c r="P92" s="79">
        <v>3780</v>
      </c>
      <c r="Q92" s="79">
        <v>50</v>
      </c>
      <c r="R92" s="79">
        <v>81</v>
      </c>
      <c r="S92" s="78" t="s">
        <v>319</v>
      </c>
      <c r="T92" s="89" t="s">
        <v>546</v>
      </c>
      <c r="V92" s="85">
        <v>82.5</v>
      </c>
      <c r="W92" s="86">
        <v>3000</v>
      </c>
      <c r="X92" s="85">
        <v>263</v>
      </c>
      <c r="Y92" s="85">
        <v>157.80000000000001</v>
      </c>
      <c r="Z92" s="86">
        <v>4000</v>
      </c>
      <c r="AA92" s="88">
        <v>526</v>
      </c>
      <c r="AB92" s="38">
        <v>0</v>
      </c>
      <c r="AC92" s="85">
        <v>178</v>
      </c>
      <c r="AD92" s="87">
        <v>48</v>
      </c>
      <c r="AE92" s="88">
        <v>110</v>
      </c>
      <c r="AF92" s="78" t="s">
        <v>485</v>
      </c>
    </row>
    <row r="93" spans="1:32" ht="16.2" x14ac:dyDescent="0.3">
      <c r="A93" s="30" t="s">
        <v>59</v>
      </c>
      <c r="B93" s="29" t="s">
        <v>4</v>
      </c>
      <c r="C93" s="29" t="s">
        <v>0</v>
      </c>
      <c r="E93" s="16"/>
      <c r="F93" s="16"/>
      <c r="G93" s="16"/>
      <c r="K93" s="78" t="s">
        <v>381</v>
      </c>
      <c r="L93" s="79">
        <v>25</v>
      </c>
      <c r="M93" s="79">
        <v>16</v>
      </c>
      <c r="N93" s="80">
        <v>4.7619999999999996</v>
      </c>
      <c r="O93" s="79">
        <v>2830</v>
      </c>
      <c r="P93" s="79">
        <v>6790</v>
      </c>
      <c r="Q93" s="79">
        <v>55</v>
      </c>
      <c r="R93" s="79">
        <v>85</v>
      </c>
      <c r="S93" s="78" t="s">
        <v>319</v>
      </c>
      <c r="T93" s="89" t="s">
        <v>136</v>
      </c>
      <c r="V93" s="85">
        <v>48</v>
      </c>
      <c r="W93" s="86">
        <v>1500</v>
      </c>
      <c r="X93" s="85">
        <v>302.7</v>
      </c>
      <c r="Y93" s="85">
        <v>90.6</v>
      </c>
      <c r="Z93" s="86">
        <v>4000</v>
      </c>
      <c r="AA93" s="88">
        <v>605.4</v>
      </c>
      <c r="AB93" s="38">
        <v>0</v>
      </c>
      <c r="AC93" s="85">
        <v>198</v>
      </c>
      <c r="AD93" s="87">
        <v>48</v>
      </c>
      <c r="AE93" s="88">
        <v>110</v>
      </c>
      <c r="AF93" s="78" t="s">
        <v>485</v>
      </c>
    </row>
    <row r="94" spans="1:32" ht="16.2" x14ac:dyDescent="0.3">
      <c r="A94" s="23" t="s">
        <v>58</v>
      </c>
      <c r="B94" s="28">
        <v>5.0999999999999996</v>
      </c>
      <c r="C94" s="28">
        <v>1</v>
      </c>
      <c r="E94" s="16"/>
      <c r="F94" s="16"/>
      <c r="G94" s="16"/>
      <c r="K94" s="78" t="s">
        <v>382</v>
      </c>
      <c r="L94" s="79">
        <v>25</v>
      </c>
      <c r="M94" s="79">
        <v>25</v>
      </c>
      <c r="N94" s="80">
        <v>3.1749999999999998</v>
      </c>
      <c r="O94" s="79">
        <v>730</v>
      </c>
      <c r="P94" s="79">
        <v>1810</v>
      </c>
      <c r="Q94" s="79">
        <v>26</v>
      </c>
      <c r="R94" s="79">
        <v>71</v>
      </c>
      <c r="S94" s="78" t="s">
        <v>319</v>
      </c>
      <c r="T94" s="89" t="s">
        <v>547</v>
      </c>
      <c r="V94" s="85">
        <v>96</v>
      </c>
      <c r="W94" s="86">
        <v>3000</v>
      </c>
      <c r="X94" s="85">
        <v>302.7</v>
      </c>
      <c r="Y94" s="85">
        <v>181.2</v>
      </c>
      <c r="Z94" s="86">
        <v>4000</v>
      </c>
      <c r="AA94" s="88">
        <v>605.4</v>
      </c>
      <c r="AB94" s="38">
        <v>0</v>
      </c>
      <c r="AC94" s="85">
        <v>198</v>
      </c>
      <c r="AD94" s="87">
        <v>48</v>
      </c>
      <c r="AE94" s="88">
        <v>110</v>
      </c>
      <c r="AF94" s="78" t="s">
        <v>485</v>
      </c>
    </row>
    <row r="95" spans="1:32" ht="16.2" x14ac:dyDescent="0.3">
      <c r="A95" s="71" t="s">
        <v>57</v>
      </c>
      <c r="B95" s="32">
        <v>10.199999999999999</v>
      </c>
      <c r="C95" s="32">
        <v>2</v>
      </c>
      <c r="E95" s="16"/>
      <c r="F95" s="16"/>
      <c r="G95" s="16"/>
      <c r="K95" s="78" t="s">
        <v>383</v>
      </c>
      <c r="L95" s="79">
        <v>28</v>
      </c>
      <c r="M95" s="79">
        <v>10</v>
      </c>
      <c r="N95" s="80">
        <v>4.7619999999999996</v>
      </c>
      <c r="O95" s="79">
        <v>2350</v>
      </c>
      <c r="P95" s="79">
        <v>5720</v>
      </c>
      <c r="Q95" s="79">
        <v>46</v>
      </c>
      <c r="R95" s="79">
        <v>52</v>
      </c>
      <c r="S95" s="78" t="s">
        <v>319</v>
      </c>
      <c r="T95" s="89" t="s">
        <v>134</v>
      </c>
      <c r="V95" s="85">
        <v>56.3</v>
      </c>
      <c r="W95" s="86">
        <v>1500</v>
      </c>
      <c r="X95" s="85">
        <v>354.7</v>
      </c>
      <c r="Y95" s="85">
        <v>106.5</v>
      </c>
      <c r="Z95" s="86">
        <v>4000</v>
      </c>
      <c r="AA95" s="88">
        <v>709.4</v>
      </c>
      <c r="AB95" s="38">
        <v>0</v>
      </c>
      <c r="AC95" s="85">
        <v>218</v>
      </c>
      <c r="AD95" s="87">
        <v>48</v>
      </c>
      <c r="AE95" s="88">
        <v>110</v>
      </c>
      <c r="AF95" s="78" t="s">
        <v>485</v>
      </c>
    </row>
    <row r="96" spans="1:32" ht="16.2" x14ac:dyDescent="0.3">
      <c r="A96" s="72" t="s">
        <v>56</v>
      </c>
      <c r="B96" s="73">
        <v>1.3</v>
      </c>
      <c r="C96" s="73">
        <v>0.25</v>
      </c>
      <c r="E96" s="16"/>
      <c r="F96" s="16"/>
      <c r="G96" s="16"/>
      <c r="K96" s="78" t="s">
        <v>384</v>
      </c>
      <c r="L96" s="79">
        <v>28</v>
      </c>
      <c r="M96" s="79">
        <v>10</v>
      </c>
      <c r="N96" s="80">
        <v>6.35</v>
      </c>
      <c r="O96" s="79">
        <v>5280</v>
      </c>
      <c r="P96" s="79">
        <v>12530</v>
      </c>
      <c r="Q96" s="79">
        <v>77</v>
      </c>
      <c r="R96" s="79">
        <v>78</v>
      </c>
      <c r="S96" s="78" t="s">
        <v>319</v>
      </c>
      <c r="T96" s="89" t="s">
        <v>548</v>
      </c>
      <c r="V96" s="85">
        <v>112.5</v>
      </c>
      <c r="W96" s="86">
        <v>3000</v>
      </c>
      <c r="X96" s="85">
        <v>354.7</v>
      </c>
      <c r="Y96" s="85">
        <v>213</v>
      </c>
      <c r="Z96" s="86">
        <v>4000</v>
      </c>
      <c r="AA96" s="88">
        <v>709.4</v>
      </c>
      <c r="AB96" s="38">
        <v>0</v>
      </c>
      <c r="AC96" s="85">
        <v>218</v>
      </c>
      <c r="AD96" s="87">
        <v>48</v>
      </c>
      <c r="AE96" s="88">
        <v>110</v>
      </c>
      <c r="AF96" s="78" t="s">
        <v>485</v>
      </c>
    </row>
    <row r="97" spans="1:32" ht="16.2" x14ac:dyDescent="0.3">
      <c r="A97" s="23" t="s">
        <v>55</v>
      </c>
      <c r="B97" s="28">
        <v>20.3</v>
      </c>
      <c r="C97" s="28">
        <v>4</v>
      </c>
      <c r="E97" s="16"/>
      <c r="F97" s="16"/>
      <c r="G97" s="16"/>
      <c r="K97" s="78" t="s">
        <v>385</v>
      </c>
      <c r="L97" s="79">
        <v>32</v>
      </c>
      <c r="M97" s="79">
        <v>10</v>
      </c>
      <c r="N97" s="80">
        <v>3.9689999999999999</v>
      </c>
      <c r="O97" s="79">
        <v>2550</v>
      </c>
      <c r="P97" s="79">
        <v>7500</v>
      </c>
      <c r="Q97" s="79">
        <v>63</v>
      </c>
      <c r="R97" s="79">
        <v>62</v>
      </c>
      <c r="S97" s="78" t="s">
        <v>319</v>
      </c>
      <c r="T97" s="89" t="s">
        <v>131</v>
      </c>
      <c r="V97" s="85">
        <v>61.5</v>
      </c>
      <c r="W97" s="86">
        <v>1500</v>
      </c>
      <c r="X97" s="85">
        <v>387.7</v>
      </c>
      <c r="Y97" s="85">
        <v>116.3</v>
      </c>
      <c r="Z97" s="86">
        <v>4000</v>
      </c>
      <c r="AA97" s="88">
        <v>775.4</v>
      </c>
      <c r="AB97" s="38">
        <v>0</v>
      </c>
      <c r="AC97" s="85">
        <v>238</v>
      </c>
      <c r="AD97" s="87">
        <v>48</v>
      </c>
      <c r="AE97" s="88">
        <v>110</v>
      </c>
      <c r="AF97" s="78" t="s">
        <v>485</v>
      </c>
    </row>
    <row r="98" spans="1:32" x14ac:dyDescent="0.3">
      <c r="A98" s="31" t="s">
        <v>4</v>
      </c>
      <c r="B98" s="16">
        <f>INDEX($A$94:$C$97,MATCH($A$93,$A$94:$A$97),2)</f>
        <v>10.199999999999999</v>
      </c>
      <c r="C98" s="18"/>
      <c r="E98" s="16"/>
      <c r="F98" s="16"/>
      <c r="G98" s="16"/>
      <c r="K98" s="78" t="s">
        <v>386</v>
      </c>
      <c r="L98" s="79">
        <v>32</v>
      </c>
      <c r="M98" s="79">
        <v>10</v>
      </c>
      <c r="N98" s="80">
        <v>4.7619999999999996</v>
      </c>
      <c r="O98" s="79">
        <v>3890</v>
      </c>
      <c r="P98" s="79">
        <v>10910</v>
      </c>
      <c r="Q98" s="79">
        <v>80</v>
      </c>
      <c r="R98" s="79">
        <v>77</v>
      </c>
      <c r="S98" s="78" t="s">
        <v>319</v>
      </c>
      <c r="T98" s="89" t="s">
        <v>549</v>
      </c>
      <c r="V98" s="85">
        <v>123</v>
      </c>
      <c r="W98" s="86">
        <v>3000</v>
      </c>
      <c r="X98" s="85">
        <v>387.7</v>
      </c>
      <c r="Y98" s="85">
        <v>232.5</v>
      </c>
      <c r="Z98" s="86">
        <v>4000</v>
      </c>
      <c r="AA98" s="88">
        <v>775.4</v>
      </c>
      <c r="AB98" s="38">
        <v>0</v>
      </c>
      <c r="AC98" s="85">
        <v>238</v>
      </c>
      <c r="AD98" s="87">
        <v>48</v>
      </c>
      <c r="AE98" s="88">
        <v>110</v>
      </c>
      <c r="AF98" s="78" t="s">
        <v>485</v>
      </c>
    </row>
    <row r="99" spans="1:32" x14ac:dyDescent="0.3">
      <c r="A99" s="31" t="s">
        <v>0</v>
      </c>
      <c r="B99" s="16">
        <f>INDEX($A$94:$C$97,MATCH($A$93,$A$94:$A$97),3)</f>
        <v>2</v>
      </c>
      <c r="C99" s="18"/>
      <c r="E99" s="16"/>
      <c r="F99" s="16"/>
      <c r="G99" s="16"/>
      <c r="K99" s="78" t="s">
        <v>387</v>
      </c>
      <c r="L99" s="79">
        <v>32</v>
      </c>
      <c r="M99" s="79">
        <v>10</v>
      </c>
      <c r="N99" s="80">
        <v>5.556</v>
      </c>
      <c r="O99" s="79">
        <v>4900</v>
      </c>
      <c r="P99" s="79">
        <v>13360</v>
      </c>
      <c r="Q99" s="79">
        <v>84</v>
      </c>
      <c r="R99" s="79">
        <v>78</v>
      </c>
      <c r="S99" s="78" t="s">
        <v>319</v>
      </c>
      <c r="T99" s="89" t="s">
        <v>128</v>
      </c>
      <c r="V99" s="85">
        <v>0.6</v>
      </c>
      <c r="W99" s="86">
        <v>3000</v>
      </c>
      <c r="X99" s="85">
        <v>2</v>
      </c>
      <c r="Y99" s="85">
        <v>4</v>
      </c>
      <c r="Z99" s="86">
        <v>7000</v>
      </c>
      <c r="AA99" s="85">
        <v>4</v>
      </c>
      <c r="AB99" s="38">
        <v>0</v>
      </c>
      <c r="AC99" s="85">
        <v>4.2</v>
      </c>
      <c r="AD99" s="87">
        <v>19</v>
      </c>
      <c r="AE99" s="88">
        <v>55</v>
      </c>
      <c r="AF99" s="78" t="s">
        <v>485</v>
      </c>
    </row>
    <row r="100" spans="1:32" x14ac:dyDescent="0.3">
      <c r="E100" s="16"/>
      <c r="F100" s="16"/>
      <c r="G100" s="16"/>
      <c r="K100" s="78" t="s">
        <v>388</v>
      </c>
      <c r="L100" s="79">
        <v>32</v>
      </c>
      <c r="M100" s="79">
        <v>10</v>
      </c>
      <c r="N100" s="80">
        <v>6.35</v>
      </c>
      <c r="O100" s="79">
        <v>5720</v>
      </c>
      <c r="P100" s="79">
        <v>14490</v>
      </c>
      <c r="Q100" s="79">
        <v>69</v>
      </c>
      <c r="R100" s="79">
        <v>78</v>
      </c>
      <c r="S100" s="78" t="s">
        <v>319</v>
      </c>
      <c r="T100" s="89" t="s">
        <v>125</v>
      </c>
      <c r="V100" s="85">
        <v>1.2</v>
      </c>
      <c r="W100" s="86">
        <v>3000</v>
      </c>
      <c r="X100" s="85">
        <v>4</v>
      </c>
      <c r="Y100" s="85">
        <v>5</v>
      </c>
      <c r="Z100" s="86">
        <v>7000</v>
      </c>
      <c r="AA100" s="85">
        <v>8</v>
      </c>
      <c r="AB100" s="38">
        <v>0</v>
      </c>
      <c r="AC100" s="85">
        <v>5.2</v>
      </c>
      <c r="AD100" s="87">
        <v>19</v>
      </c>
      <c r="AE100" s="88">
        <v>55</v>
      </c>
      <c r="AF100" s="78" t="s">
        <v>485</v>
      </c>
    </row>
    <row r="101" spans="1:32" ht="16.2" x14ac:dyDescent="0.3">
      <c r="A101" s="4" t="s">
        <v>63</v>
      </c>
      <c r="E101" s="16"/>
      <c r="F101" s="16"/>
      <c r="G101" s="16"/>
      <c r="K101" s="78" t="s">
        <v>389</v>
      </c>
      <c r="L101" s="79">
        <v>32</v>
      </c>
      <c r="M101" s="79">
        <v>15</v>
      </c>
      <c r="N101" s="80">
        <v>4.7619999999999996</v>
      </c>
      <c r="O101" s="79">
        <v>3860</v>
      </c>
      <c r="P101" s="79">
        <v>10850</v>
      </c>
      <c r="Q101" s="79">
        <v>80</v>
      </c>
      <c r="R101" s="79">
        <v>116</v>
      </c>
      <c r="S101" s="78" t="s">
        <v>319</v>
      </c>
      <c r="T101" s="89" t="s">
        <v>123</v>
      </c>
      <c r="V101" s="85">
        <v>1.5</v>
      </c>
      <c r="W101" s="86">
        <v>3000</v>
      </c>
      <c r="X101" s="85">
        <v>5</v>
      </c>
      <c r="Y101" s="85">
        <v>6</v>
      </c>
      <c r="Z101" s="86">
        <v>7000</v>
      </c>
      <c r="AA101" s="85">
        <v>10</v>
      </c>
      <c r="AB101" s="38">
        <v>0</v>
      </c>
      <c r="AC101" s="85">
        <v>5.8</v>
      </c>
      <c r="AD101" s="87">
        <v>19</v>
      </c>
      <c r="AE101" s="88">
        <v>55</v>
      </c>
      <c r="AF101" s="78" t="s">
        <v>485</v>
      </c>
    </row>
    <row r="102" spans="1:32" ht="19.8" x14ac:dyDescent="0.3">
      <c r="A102" s="4" t="s">
        <v>62</v>
      </c>
      <c r="B102" s="11">
        <f>+B32*B14^2/(B113*10^7)</f>
        <v>10.462941176470588</v>
      </c>
      <c r="C102" s="9" t="s">
        <v>19</v>
      </c>
      <c r="D102" s="4" t="s">
        <v>61</v>
      </c>
      <c r="E102" s="14">
        <f>+$B$8</f>
        <v>20</v>
      </c>
      <c r="F102" s="9" t="s">
        <v>19</v>
      </c>
      <c r="G102" s="16"/>
      <c r="K102" s="78" t="s">
        <v>390</v>
      </c>
      <c r="L102" s="79">
        <v>32</v>
      </c>
      <c r="M102" s="79">
        <v>16</v>
      </c>
      <c r="N102" s="80">
        <v>5.556</v>
      </c>
      <c r="O102" s="79">
        <v>4860</v>
      </c>
      <c r="P102" s="79">
        <v>13280</v>
      </c>
      <c r="Q102" s="79">
        <v>79</v>
      </c>
      <c r="R102" s="79">
        <v>107</v>
      </c>
      <c r="S102" s="78" t="s">
        <v>319</v>
      </c>
      <c r="T102" s="89" t="s">
        <v>121</v>
      </c>
      <c r="V102" s="85">
        <v>1.2</v>
      </c>
      <c r="W102" s="86">
        <v>2000</v>
      </c>
      <c r="X102" s="85">
        <v>6</v>
      </c>
      <c r="Y102" s="85">
        <v>6</v>
      </c>
      <c r="Z102" s="86">
        <v>7000</v>
      </c>
      <c r="AA102" s="85">
        <v>12</v>
      </c>
      <c r="AB102" s="38">
        <v>0</v>
      </c>
      <c r="AC102" s="85">
        <v>6.4</v>
      </c>
      <c r="AD102" s="87">
        <v>19</v>
      </c>
      <c r="AE102" s="88">
        <v>55</v>
      </c>
      <c r="AF102" s="78" t="s">
        <v>485</v>
      </c>
    </row>
    <row r="103" spans="1:32" ht="16.2" x14ac:dyDescent="0.3">
      <c r="A103" s="10"/>
      <c r="E103" s="16"/>
      <c r="F103" s="16"/>
      <c r="G103" s="16"/>
      <c r="K103" s="78" t="s">
        <v>391</v>
      </c>
      <c r="L103" s="79">
        <v>32</v>
      </c>
      <c r="M103" s="79">
        <v>16</v>
      </c>
      <c r="N103" s="80">
        <v>6.35</v>
      </c>
      <c r="O103" s="79">
        <v>4520</v>
      </c>
      <c r="P103" s="79">
        <v>11100</v>
      </c>
      <c r="Q103" s="79">
        <v>54</v>
      </c>
      <c r="R103" s="79">
        <v>92</v>
      </c>
      <c r="S103" s="78" t="s">
        <v>319</v>
      </c>
      <c r="T103" s="89" t="s">
        <v>119</v>
      </c>
      <c r="V103" s="85">
        <v>1.6</v>
      </c>
      <c r="W103" s="86">
        <v>3000</v>
      </c>
      <c r="X103" s="85">
        <v>6</v>
      </c>
      <c r="Y103" s="85">
        <v>8</v>
      </c>
      <c r="Z103" s="86">
        <v>7000</v>
      </c>
      <c r="AA103" s="85">
        <v>12</v>
      </c>
      <c r="AB103" s="38">
        <v>0</v>
      </c>
      <c r="AC103" s="85">
        <v>6.4</v>
      </c>
      <c r="AD103" s="87">
        <v>19</v>
      </c>
      <c r="AE103" s="88">
        <v>55</v>
      </c>
      <c r="AF103" s="78" t="s">
        <v>485</v>
      </c>
    </row>
    <row r="104" spans="1:32" ht="16.2" x14ac:dyDescent="0.3">
      <c r="A104" s="4"/>
      <c r="E104" s="16"/>
      <c r="F104" s="16"/>
      <c r="G104" s="16"/>
      <c r="K104" s="78" t="s">
        <v>392</v>
      </c>
      <c r="L104" s="79">
        <v>32</v>
      </c>
      <c r="M104" s="79">
        <v>20</v>
      </c>
      <c r="N104" s="80">
        <v>4.7619999999999996</v>
      </c>
      <c r="O104" s="79">
        <v>1700</v>
      </c>
      <c r="P104" s="79">
        <v>4230</v>
      </c>
      <c r="Q104" s="79">
        <v>34</v>
      </c>
      <c r="R104" s="79">
        <v>70</v>
      </c>
      <c r="S104" s="78" t="s">
        <v>319</v>
      </c>
      <c r="T104" s="89" t="s">
        <v>116</v>
      </c>
      <c r="V104" s="85">
        <v>1.5</v>
      </c>
      <c r="W104" s="86">
        <v>1500</v>
      </c>
      <c r="X104" s="85">
        <v>10</v>
      </c>
      <c r="Y104" s="85">
        <v>6</v>
      </c>
      <c r="Z104" s="86">
        <v>7000</v>
      </c>
      <c r="AA104" s="85">
        <v>12</v>
      </c>
      <c r="AB104" s="38">
        <v>0</v>
      </c>
      <c r="AC104" s="85">
        <v>9.5</v>
      </c>
      <c r="AD104" s="87">
        <v>22</v>
      </c>
      <c r="AE104" s="88">
        <v>56</v>
      </c>
      <c r="AF104" s="78" t="s">
        <v>485</v>
      </c>
    </row>
    <row r="105" spans="1:32" x14ac:dyDescent="0.3">
      <c r="E105" s="16"/>
      <c r="F105" s="16"/>
      <c r="G105" s="16"/>
      <c r="K105" s="78" t="s">
        <v>393</v>
      </c>
      <c r="L105" s="79">
        <v>36</v>
      </c>
      <c r="M105" s="79">
        <v>10</v>
      </c>
      <c r="N105" s="80">
        <v>6.35</v>
      </c>
      <c r="O105" s="79">
        <v>6050</v>
      </c>
      <c r="P105" s="79">
        <v>16460</v>
      </c>
      <c r="Q105" s="79">
        <v>93</v>
      </c>
      <c r="R105" s="79">
        <v>78</v>
      </c>
      <c r="S105" s="78" t="s">
        <v>319</v>
      </c>
      <c r="T105" s="89" t="s">
        <v>113</v>
      </c>
      <c r="V105" s="85">
        <v>2.6</v>
      </c>
      <c r="W105" s="86">
        <v>2500</v>
      </c>
      <c r="X105" s="85">
        <v>10</v>
      </c>
      <c r="Y105" s="85">
        <v>10</v>
      </c>
      <c r="Z105" s="86">
        <v>7000</v>
      </c>
      <c r="AA105" s="85">
        <v>20</v>
      </c>
      <c r="AB105" s="38">
        <v>0</v>
      </c>
      <c r="AC105" s="85">
        <v>11.1</v>
      </c>
      <c r="AD105" s="87">
        <v>22</v>
      </c>
      <c r="AE105" s="88">
        <v>56</v>
      </c>
      <c r="AF105" s="78" t="s">
        <v>485</v>
      </c>
    </row>
    <row r="106" spans="1:32" x14ac:dyDescent="0.3">
      <c r="E106" s="16"/>
      <c r="F106" s="16"/>
      <c r="G106" s="16"/>
      <c r="K106" s="78" t="s">
        <v>394</v>
      </c>
      <c r="L106" s="79">
        <v>36</v>
      </c>
      <c r="M106" s="79">
        <v>16</v>
      </c>
      <c r="N106" s="80">
        <v>6.35</v>
      </c>
      <c r="O106" s="79">
        <v>6050</v>
      </c>
      <c r="P106" s="79">
        <v>16360</v>
      </c>
      <c r="Q106" s="79">
        <v>93</v>
      </c>
      <c r="R106" s="79">
        <v>109</v>
      </c>
      <c r="S106" s="78" t="s">
        <v>319</v>
      </c>
      <c r="T106" s="89" t="s">
        <v>107</v>
      </c>
      <c r="V106" s="85">
        <v>2.2999999999999998</v>
      </c>
      <c r="W106" s="86">
        <v>1500</v>
      </c>
      <c r="X106" s="85">
        <v>15</v>
      </c>
      <c r="Y106" s="85">
        <v>9.5</v>
      </c>
      <c r="Z106" s="86">
        <v>7000</v>
      </c>
      <c r="AA106" s="85">
        <v>20</v>
      </c>
      <c r="AB106" s="38">
        <v>0</v>
      </c>
      <c r="AC106" s="85">
        <v>14.3</v>
      </c>
      <c r="AD106" s="87">
        <v>22</v>
      </c>
      <c r="AE106" s="88">
        <v>56</v>
      </c>
      <c r="AF106" s="78" t="s">
        <v>485</v>
      </c>
    </row>
    <row r="107" spans="1:32" ht="16.2" x14ac:dyDescent="0.3">
      <c r="A107" s="4" t="s">
        <v>60</v>
      </c>
      <c r="B107" s="10"/>
      <c r="E107" s="16"/>
      <c r="F107" s="16"/>
      <c r="G107" s="16"/>
      <c r="K107" s="78" t="s">
        <v>395</v>
      </c>
      <c r="L107" s="79">
        <v>36</v>
      </c>
      <c r="M107" s="79">
        <v>20</v>
      </c>
      <c r="N107" s="80">
        <v>6.35</v>
      </c>
      <c r="O107" s="79">
        <v>4910</v>
      </c>
      <c r="P107" s="79">
        <v>12890</v>
      </c>
      <c r="Q107" s="79">
        <v>76</v>
      </c>
      <c r="R107" s="79">
        <v>109</v>
      </c>
      <c r="S107" s="78" t="s">
        <v>319</v>
      </c>
      <c r="T107" s="89" t="s">
        <v>106</v>
      </c>
      <c r="V107" s="85">
        <v>3.8</v>
      </c>
      <c r="W107" s="86">
        <v>2500</v>
      </c>
      <c r="X107" s="85">
        <v>15</v>
      </c>
      <c r="Y107" s="85">
        <v>17</v>
      </c>
      <c r="Z107" s="86">
        <v>7000</v>
      </c>
      <c r="AA107" s="85">
        <v>34</v>
      </c>
      <c r="AB107" s="38">
        <v>0</v>
      </c>
      <c r="AC107" s="85">
        <v>14.3</v>
      </c>
      <c r="AD107" s="87">
        <v>22</v>
      </c>
      <c r="AE107" s="88">
        <v>56</v>
      </c>
      <c r="AF107" s="78" t="s">
        <v>485</v>
      </c>
    </row>
    <row r="108" spans="1:32" ht="16.2" x14ac:dyDescent="0.3">
      <c r="A108" s="30" t="s">
        <v>59</v>
      </c>
      <c r="B108" s="29" t="s">
        <v>54</v>
      </c>
      <c r="C108" s="29" t="s">
        <v>53</v>
      </c>
      <c r="E108" s="16"/>
      <c r="F108" s="16"/>
      <c r="G108" s="16"/>
      <c r="K108" s="78" t="s">
        <v>396</v>
      </c>
      <c r="L108" s="79">
        <v>38</v>
      </c>
      <c r="M108" s="79">
        <v>10</v>
      </c>
      <c r="N108" s="80">
        <v>6.35</v>
      </c>
      <c r="O108" s="79">
        <v>6260</v>
      </c>
      <c r="P108" s="79">
        <v>17740</v>
      </c>
      <c r="Q108" s="79">
        <v>97</v>
      </c>
      <c r="R108" s="79">
        <v>80</v>
      </c>
      <c r="S108" s="78" t="s">
        <v>319</v>
      </c>
      <c r="T108" s="89" t="s">
        <v>103</v>
      </c>
      <c r="V108" s="85">
        <v>4</v>
      </c>
      <c r="W108" s="86">
        <v>3000</v>
      </c>
      <c r="X108" s="85">
        <v>14</v>
      </c>
      <c r="Y108" s="85">
        <v>17</v>
      </c>
      <c r="Z108" s="86">
        <v>7000</v>
      </c>
      <c r="AA108" s="85">
        <v>34</v>
      </c>
      <c r="AB108" s="38">
        <v>0</v>
      </c>
      <c r="AC108" s="85">
        <v>14.3</v>
      </c>
      <c r="AD108" s="87">
        <v>22</v>
      </c>
      <c r="AE108" s="88">
        <v>56</v>
      </c>
      <c r="AF108" s="78" t="s">
        <v>485</v>
      </c>
    </row>
    <row r="109" spans="1:32" ht="16.2" x14ac:dyDescent="0.3">
      <c r="A109" s="23" t="s">
        <v>58</v>
      </c>
      <c r="B109" s="28">
        <v>5.0999999999999996</v>
      </c>
      <c r="C109" s="28">
        <v>1</v>
      </c>
      <c r="E109" s="16"/>
      <c r="F109" s="16"/>
      <c r="G109" s="16"/>
      <c r="K109" s="78" t="s">
        <v>397</v>
      </c>
      <c r="L109" s="79">
        <v>38</v>
      </c>
      <c r="M109" s="79">
        <v>16</v>
      </c>
      <c r="N109" s="80">
        <v>6.35</v>
      </c>
      <c r="O109" s="79">
        <v>6220</v>
      </c>
      <c r="P109" s="79">
        <v>17350</v>
      </c>
      <c r="Q109" s="79">
        <v>97</v>
      </c>
      <c r="R109" s="79">
        <v>109</v>
      </c>
      <c r="S109" s="78" t="s">
        <v>319</v>
      </c>
      <c r="T109" s="89" t="s">
        <v>102</v>
      </c>
      <c r="V109" s="85">
        <v>1</v>
      </c>
      <c r="W109" s="86">
        <v>2500</v>
      </c>
      <c r="X109" s="85">
        <v>4</v>
      </c>
      <c r="Y109" s="85">
        <v>4</v>
      </c>
      <c r="Z109" s="86">
        <v>7000</v>
      </c>
      <c r="AA109" s="85">
        <v>8</v>
      </c>
      <c r="AB109" s="38">
        <v>0</v>
      </c>
      <c r="AC109" s="85">
        <v>7.4</v>
      </c>
      <c r="AD109" s="87">
        <v>22</v>
      </c>
      <c r="AE109" s="88">
        <v>56</v>
      </c>
      <c r="AF109" s="78" t="s">
        <v>485</v>
      </c>
    </row>
    <row r="110" spans="1:32" ht="16.2" x14ac:dyDescent="0.3">
      <c r="A110" s="23" t="s">
        <v>57</v>
      </c>
      <c r="B110" s="28">
        <v>10.199999999999999</v>
      </c>
      <c r="C110" s="28">
        <v>2</v>
      </c>
      <c r="E110" s="16"/>
      <c r="F110" s="16"/>
      <c r="G110" s="16"/>
      <c r="K110" s="78" t="s">
        <v>398</v>
      </c>
      <c r="L110" s="79">
        <v>40</v>
      </c>
      <c r="M110" s="79">
        <v>10</v>
      </c>
      <c r="N110" s="80">
        <v>6.35</v>
      </c>
      <c r="O110" s="79">
        <v>6430</v>
      </c>
      <c r="P110" s="79">
        <v>18440</v>
      </c>
      <c r="Q110" s="79">
        <v>101</v>
      </c>
      <c r="R110" s="79">
        <v>78</v>
      </c>
      <c r="S110" s="78" t="s">
        <v>319</v>
      </c>
      <c r="T110" s="89" t="s">
        <v>101</v>
      </c>
      <c r="V110" s="85">
        <v>1</v>
      </c>
      <c r="W110" s="86">
        <v>2000</v>
      </c>
      <c r="X110" s="85">
        <v>5</v>
      </c>
      <c r="Y110" s="85">
        <v>5</v>
      </c>
      <c r="Z110" s="86">
        <v>7000</v>
      </c>
      <c r="AA110" s="85">
        <v>10</v>
      </c>
      <c r="AB110" s="38">
        <v>0</v>
      </c>
      <c r="AC110" s="85">
        <v>7.9</v>
      </c>
      <c r="AD110" s="87">
        <v>22</v>
      </c>
      <c r="AE110" s="88">
        <v>56</v>
      </c>
      <c r="AF110" s="78" t="s">
        <v>485</v>
      </c>
    </row>
    <row r="111" spans="1:32" ht="16.2" x14ac:dyDescent="0.3">
      <c r="A111" s="23" t="s">
        <v>56</v>
      </c>
      <c r="B111" s="28">
        <v>1.3</v>
      </c>
      <c r="C111" s="28">
        <v>0.25</v>
      </c>
      <c r="E111" s="16"/>
      <c r="F111" s="16"/>
      <c r="G111" s="16"/>
      <c r="K111" s="78" t="s">
        <v>399</v>
      </c>
      <c r="L111" s="79">
        <v>40</v>
      </c>
      <c r="M111" s="79">
        <v>12</v>
      </c>
      <c r="N111" s="80">
        <v>6</v>
      </c>
      <c r="O111" s="79">
        <v>6420</v>
      </c>
      <c r="P111" s="79">
        <v>18410</v>
      </c>
      <c r="Q111" s="79">
        <v>101</v>
      </c>
      <c r="R111" s="79">
        <v>88</v>
      </c>
      <c r="S111" s="78" t="s">
        <v>43</v>
      </c>
      <c r="T111" s="89" t="s">
        <v>100</v>
      </c>
      <c r="V111" s="85">
        <v>1.3</v>
      </c>
      <c r="W111" s="86">
        <v>2500</v>
      </c>
      <c r="X111" s="85">
        <v>5</v>
      </c>
      <c r="Y111" s="85">
        <v>5</v>
      </c>
      <c r="Z111" s="86">
        <v>7000</v>
      </c>
      <c r="AA111" s="85">
        <v>10</v>
      </c>
      <c r="AB111" s="38">
        <v>0</v>
      </c>
      <c r="AC111" s="85">
        <v>7.9</v>
      </c>
      <c r="AD111" s="87">
        <v>22</v>
      </c>
      <c r="AE111" s="88">
        <v>56</v>
      </c>
      <c r="AF111" s="78" t="s">
        <v>485</v>
      </c>
    </row>
    <row r="112" spans="1:32" ht="16.2" x14ac:dyDescent="0.3">
      <c r="A112" s="23" t="s">
        <v>55</v>
      </c>
      <c r="B112" s="28">
        <v>20.3</v>
      </c>
      <c r="C112" s="28">
        <v>4</v>
      </c>
      <c r="E112" s="16"/>
      <c r="F112" s="16"/>
      <c r="G112" s="16"/>
      <c r="K112" s="78" t="s">
        <v>400</v>
      </c>
      <c r="L112" s="79">
        <v>40</v>
      </c>
      <c r="M112" s="79">
        <v>12</v>
      </c>
      <c r="N112" s="80">
        <v>7.1440000000000001</v>
      </c>
      <c r="O112" s="79">
        <v>7530</v>
      </c>
      <c r="P112" s="79">
        <v>20800</v>
      </c>
      <c r="Q112" s="79">
        <v>103</v>
      </c>
      <c r="R112" s="79">
        <v>110</v>
      </c>
      <c r="S112" s="78" t="s">
        <v>319</v>
      </c>
      <c r="T112" s="89" t="s">
        <v>98</v>
      </c>
      <c r="V112" s="85">
        <v>1.5</v>
      </c>
      <c r="W112" s="86">
        <v>2500</v>
      </c>
      <c r="X112" s="85">
        <v>6</v>
      </c>
      <c r="Y112" s="85">
        <v>6</v>
      </c>
      <c r="Z112" s="86">
        <v>7000</v>
      </c>
      <c r="AA112" s="85">
        <v>12</v>
      </c>
      <c r="AB112" s="38">
        <v>0</v>
      </c>
      <c r="AC112" s="85">
        <v>8.6</v>
      </c>
      <c r="AD112" s="87">
        <v>22</v>
      </c>
      <c r="AE112" s="88">
        <v>56</v>
      </c>
      <c r="AF112" s="78" t="s">
        <v>485</v>
      </c>
    </row>
    <row r="113" spans="1:32" x14ac:dyDescent="0.3">
      <c r="A113" s="31" t="s">
        <v>54</v>
      </c>
      <c r="B113" s="16">
        <f>INDEX($A$109:$C$112,MATCH($A$108,$A$109:$A$112),2)</f>
        <v>10.199999999999999</v>
      </c>
      <c r="C113" s="18"/>
      <c r="E113" s="16"/>
      <c r="F113" s="16"/>
      <c r="G113" s="16"/>
      <c r="K113" s="78" t="s">
        <v>401</v>
      </c>
      <c r="L113" s="79">
        <v>40</v>
      </c>
      <c r="M113" s="79">
        <v>16</v>
      </c>
      <c r="N113" s="80">
        <v>6.35</v>
      </c>
      <c r="O113" s="79">
        <v>6390</v>
      </c>
      <c r="P113" s="79">
        <v>18330</v>
      </c>
      <c r="Q113" s="79">
        <v>101</v>
      </c>
      <c r="R113" s="79">
        <v>108</v>
      </c>
      <c r="S113" s="78" t="s">
        <v>319</v>
      </c>
      <c r="T113" s="89" t="s">
        <v>95</v>
      </c>
      <c r="V113" s="85">
        <v>1.6</v>
      </c>
      <c r="W113" s="86">
        <v>2000</v>
      </c>
      <c r="X113" s="85">
        <v>7.7</v>
      </c>
      <c r="Y113" s="85">
        <v>6</v>
      </c>
      <c r="Z113" s="86">
        <v>7000</v>
      </c>
      <c r="AA113" s="85">
        <v>12</v>
      </c>
      <c r="AB113" s="38">
        <v>0</v>
      </c>
      <c r="AC113" s="85">
        <v>9.5</v>
      </c>
      <c r="AD113" s="87">
        <v>22</v>
      </c>
      <c r="AE113" s="88">
        <v>56</v>
      </c>
      <c r="AF113" s="78" t="s">
        <v>485</v>
      </c>
    </row>
    <row r="114" spans="1:32" x14ac:dyDescent="0.3">
      <c r="A114" s="31" t="s">
        <v>53</v>
      </c>
      <c r="B114" s="16">
        <f>INDEX($A$109:$C$112,MATCH($A$108,$A$109:$A$112),3)</f>
        <v>2</v>
      </c>
      <c r="C114" s="18"/>
      <c r="E114" s="16"/>
      <c r="F114" s="16"/>
      <c r="G114" s="16"/>
      <c r="K114" s="78" t="s">
        <v>402</v>
      </c>
      <c r="L114" s="79">
        <v>40</v>
      </c>
      <c r="M114" s="79">
        <v>16</v>
      </c>
      <c r="N114" s="80">
        <v>7.1440000000000001</v>
      </c>
      <c r="O114" s="79">
        <v>7500</v>
      </c>
      <c r="P114" s="79">
        <v>20730</v>
      </c>
      <c r="Q114" s="79">
        <v>103</v>
      </c>
      <c r="R114" s="79">
        <v>110</v>
      </c>
      <c r="S114" s="78" t="s">
        <v>319</v>
      </c>
      <c r="T114" s="89" t="s">
        <v>94</v>
      </c>
      <c r="V114" s="85">
        <v>2</v>
      </c>
      <c r="W114" s="86">
        <v>2500</v>
      </c>
      <c r="X114" s="85">
        <v>7.7</v>
      </c>
      <c r="Y114" s="85">
        <v>6.9</v>
      </c>
      <c r="Z114" s="86">
        <v>7000</v>
      </c>
      <c r="AA114" s="85">
        <v>14</v>
      </c>
      <c r="AB114" s="38">
        <v>0</v>
      </c>
      <c r="AC114" s="85">
        <v>9.5</v>
      </c>
      <c r="AD114" s="87">
        <v>22</v>
      </c>
      <c r="AE114" s="88">
        <v>48</v>
      </c>
      <c r="AF114" s="78" t="s">
        <v>485</v>
      </c>
    </row>
    <row r="115" spans="1:32" x14ac:dyDescent="0.3">
      <c r="E115" s="16"/>
      <c r="F115" s="16"/>
      <c r="G115" s="16"/>
      <c r="K115" s="78" t="s">
        <v>403</v>
      </c>
      <c r="L115" s="79">
        <v>40</v>
      </c>
      <c r="M115" s="79">
        <v>20</v>
      </c>
      <c r="N115" s="80">
        <v>6.35</v>
      </c>
      <c r="O115" s="79">
        <v>5190</v>
      </c>
      <c r="P115" s="79">
        <v>14450</v>
      </c>
      <c r="Q115" s="79">
        <v>82</v>
      </c>
      <c r="R115" s="79">
        <v>110</v>
      </c>
      <c r="S115" s="78" t="s">
        <v>319</v>
      </c>
      <c r="T115" s="89" t="s">
        <v>92</v>
      </c>
      <c r="V115" s="85">
        <v>2.4</v>
      </c>
      <c r="W115" s="86">
        <v>3000</v>
      </c>
      <c r="X115" s="85">
        <v>7.7</v>
      </c>
      <c r="Y115" s="85">
        <v>9</v>
      </c>
      <c r="Z115" s="86">
        <v>7000</v>
      </c>
      <c r="AA115" s="85">
        <v>18</v>
      </c>
      <c r="AB115" s="38">
        <v>0</v>
      </c>
      <c r="AC115" s="85">
        <v>9.5</v>
      </c>
      <c r="AD115" s="87">
        <v>22</v>
      </c>
      <c r="AE115" s="88">
        <v>56</v>
      </c>
      <c r="AF115" s="78" t="s">
        <v>485</v>
      </c>
    </row>
    <row r="116" spans="1:32" ht="19.8" x14ac:dyDescent="0.3">
      <c r="A116" s="4" t="s">
        <v>52</v>
      </c>
      <c r="B116" s="15">
        <f>+ROUND(((C73*E73+C74*E74+C75*E75+C76*E76+C77*E77+C78*E78+C79*E79)/(100)),0)</f>
        <v>520</v>
      </c>
      <c r="C116" s="9" t="s">
        <v>15</v>
      </c>
      <c r="D116" s="10"/>
      <c r="G116" s="10"/>
      <c r="K116" s="78" t="s">
        <v>404</v>
      </c>
      <c r="L116" s="79">
        <v>45</v>
      </c>
      <c r="M116" s="79">
        <v>10</v>
      </c>
      <c r="N116" s="80">
        <v>6.35</v>
      </c>
      <c r="O116" s="79">
        <v>6910</v>
      </c>
      <c r="P116" s="79">
        <v>21330</v>
      </c>
      <c r="Q116" s="79">
        <v>110</v>
      </c>
      <c r="R116" s="79">
        <v>78</v>
      </c>
      <c r="S116" s="78" t="s">
        <v>43</v>
      </c>
      <c r="T116" s="89" t="s">
        <v>89</v>
      </c>
      <c r="V116" s="85">
        <v>1.7</v>
      </c>
      <c r="W116" s="86">
        <v>1000</v>
      </c>
      <c r="X116" s="85">
        <v>16</v>
      </c>
      <c r="Y116" s="85">
        <v>2.9</v>
      </c>
      <c r="Z116" s="86">
        <v>7000</v>
      </c>
      <c r="AA116" s="85">
        <v>42.1</v>
      </c>
      <c r="AB116" s="38">
        <v>0</v>
      </c>
      <c r="AC116" s="85">
        <v>21</v>
      </c>
      <c r="AD116" s="87">
        <v>24</v>
      </c>
      <c r="AE116" s="88">
        <v>50</v>
      </c>
      <c r="AF116" s="78" t="s">
        <v>485</v>
      </c>
    </row>
    <row r="117" spans="1:32" ht="16.2" x14ac:dyDescent="0.3">
      <c r="A117" s="10"/>
      <c r="K117" s="78" t="s">
        <v>405</v>
      </c>
      <c r="L117" s="79">
        <v>45</v>
      </c>
      <c r="M117" s="79">
        <v>12</v>
      </c>
      <c r="N117" s="80">
        <v>6.35</v>
      </c>
      <c r="O117" s="79">
        <v>6910</v>
      </c>
      <c r="P117" s="79">
        <v>21310</v>
      </c>
      <c r="Q117" s="79">
        <v>110</v>
      </c>
      <c r="R117" s="79">
        <v>89</v>
      </c>
      <c r="S117" s="78" t="s">
        <v>43</v>
      </c>
      <c r="T117" s="89" t="s">
        <v>86</v>
      </c>
      <c r="V117" s="85">
        <v>2.5</v>
      </c>
      <c r="W117" s="86">
        <v>1500</v>
      </c>
      <c r="X117" s="85">
        <v>16</v>
      </c>
      <c r="Y117" s="85">
        <v>4.3</v>
      </c>
      <c r="Z117" s="86">
        <v>7000</v>
      </c>
      <c r="AA117" s="85">
        <v>42.1</v>
      </c>
      <c r="AB117" s="38">
        <v>0</v>
      </c>
      <c r="AC117" s="85">
        <v>21</v>
      </c>
      <c r="AD117" s="87">
        <v>24</v>
      </c>
      <c r="AE117" s="88">
        <v>50</v>
      </c>
      <c r="AF117" s="78" t="s">
        <v>485</v>
      </c>
    </row>
    <row r="118" spans="1:32" x14ac:dyDescent="0.3">
      <c r="K118" s="78" t="s">
        <v>406</v>
      </c>
      <c r="L118" s="79">
        <v>45</v>
      </c>
      <c r="M118" s="79">
        <v>16</v>
      </c>
      <c r="N118" s="80">
        <v>6.35</v>
      </c>
      <c r="O118" s="79">
        <v>6880</v>
      </c>
      <c r="P118" s="79">
        <v>21250</v>
      </c>
      <c r="Q118" s="79">
        <v>110</v>
      </c>
      <c r="R118" s="79">
        <v>111</v>
      </c>
      <c r="S118" s="78" t="s">
        <v>43</v>
      </c>
      <c r="T118" s="89" t="s">
        <v>84</v>
      </c>
      <c r="V118" s="85">
        <v>3.3</v>
      </c>
      <c r="W118" s="86">
        <v>2000</v>
      </c>
      <c r="X118" s="85">
        <v>16</v>
      </c>
      <c r="Y118" s="85">
        <v>5.7</v>
      </c>
      <c r="Z118" s="86">
        <v>7000</v>
      </c>
      <c r="AA118" s="85">
        <v>42.1</v>
      </c>
      <c r="AB118" s="38">
        <v>0</v>
      </c>
      <c r="AC118" s="85">
        <v>21</v>
      </c>
      <c r="AD118" s="87">
        <v>24</v>
      </c>
      <c r="AE118" s="88">
        <v>50</v>
      </c>
      <c r="AF118" s="78" t="s">
        <v>485</v>
      </c>
    </row>
    <row r="119" spans="1:32" x14ac:dyDescent="0.3">
      <c r="D119" s="11">
        <f>+((D73^3+G73+D74^3*G74+D75^3*G75+D76^3*G76+D77^3*G77+D78^3*G78+D79^3*G79)/(G80))^(1/3)</f>
        <v>4768.7037894844225</v>
      </c>
      <c r="F119" s="15">
        <f>+D119/$D$53</f>
        <v>486.10640055906447</v>
      </c>
      <c r="K119" s="78" t="s">
        <v>407</v>
      </c>
      <c r="L119" s="79">
        <v>50</v>
      </c>
      <c r="M119" s="79">
        <v>10</v>
      </c>
      <c r="N119" s="80">
        <v>6.35</v>
      </c>
      <c r="O119" s="79">
        <v>7160</v>
      </c>
      <c r="P119" s="79">
        <v>23320</v>
      </c>
      <c r="Q119" s="79">
        <v>119</v>
      </c>
      <c r="R119" s="79">
        <v>78</v>
      </c>
      <c r="S119" s="78" t="s">
        <v>43</v>
      </c>
      <c r="T119" s="89" t="s">
        <v>84</v>
      </c>
      <c r="V119" s="85">
        <v>3.3</v>
      </c>
      <c r="W119" s="86">
        <v>2000</v>
      </c>
      <c r="X119" s="85">
        <v>16</v>
      </c>
      <c r="Y119" s="85">
        <v>5.7</v>
      </c>
      <c r="Z119" s="86">
        <v>7000</v>
      </c>
      <c r="AA119" s="85">
        <v>42.1</v>
      </c>
      <c r="AB119" s="38">
        <v>0</v>
      </c>
      <c r="AC119" s="85">
        <v>21</v>
      </c>
      <c r="AD119" s="87">
        <v>24</v>
      </c>
      <c r="AE119" s="88">
        <v>50</v>
      </c>
      <c r="AF119" s="78" t="s">
        <v>485</v>
      </c>
    </row>
    <row r="120" spans="1:32" ht="19.8" x14ac:dyDescent="0.3">
      <c r="A120" s="13" t="s">
        <v>50</v>
      </c>
      <c r="B120" s="15">
        <f>+ROUND((D73^3*(C73/B116)*(E73/100)*2^3+D74^3*(C74/B116)*(E74/100)*1.1^3+D75^3*(C75/B116)*(E75/100)*1.1^3+D76^3*(C76/B116)*(E76/100)*2^3+D77^3*(C77/B116)*(E77/100)*1.1^3+D78^3*(C78/B116)*(E78/100)*1.1^3+D79^3*(C79/B116)*(E79/100)*1.1^3)^(1/3)/D53,0)</f>
        <v>595</v>
      </c>
      <c r="C120" s="9" t="s">
        <v>40</v>
      </c>
      <c r="D120" s="15">
        <f>+ROUND(((D73^3*C73*F73+D74^3*C74*F74+D75^3*C75*F75+D76^3*C76*F76+D77^3*C77*F77+D78^3*C78*F78+D79^3*C79*F79)/(C73*F73+C74*F74+C75*F75+C76*F76+C77*F77+C78*F78+C79*F79))^(1/3),0)</f>
        <v>4795</v>
      </c>
      <c r="E120" s="9" t="s">
        <v>0</v>
      </c>
      <c r="F120" s="15">
        <f>+D120/$D$53</f>
        <v>488.78695208970436</v>
      </c>
      <c r="G120" s="9" t="s">
        <v>40</v>
      </c>
      <c r="K120" s="78" t="s">
        <v>408</v>
      </c>
      <c r="L120" s="79">
        <v>50</v>
      </c>
      <c r="M120" s="79">
        <v>12</v>
      </c>
      <c r="N120" s="80">
        <v>6.35</v>
      </c>
      <c r="O120" s="79">
        <v>7150</v>
      </c>
      <c r="P120" s="79">
        <v>23300</v>
      </c>
      <c r="Q120" s="79">
        <v>119</v>
      </c>
      <c r="R120" s="79">
        <v>90</v>
      </c>
      <c r="S120" s="78" t="s">
        <v>43</v>
      </c>
      <c r="T120" s="89" t="s">
        <v>84</v>
      </c>
      <c r="V120" s="85">
        <v>3.3</v>
      </c>
      <c r="W120" s="86">
        <v>2000</v>
      </c>
      <c r="X120" s="85">
        <v>16</v>
      </c>
      <c r="Y120" s="85">
        <v>5.7</v>
      </c>
      <c r="Z120" s="86">
        <v>7000</v>
      </c>
      <c r="AA120" s="85">
        <v>42.1</v>
      </c>
      <c r="AB120" s="38">
        <v>0</v>
      </c>
      <c r="AC120" s="85">
        <v>21</v>
      </c>
      <c r="AD120" s="87">
        <v>24</v>
      </c>
      <c r="AE120" s="88">
        <v>50</v>
      </c>
      <c r="AF120" s="78" t="s">
        <v>485</v>
      </c>
    </row>
    <row r="121" spans="1:32" ht="16.2" x14ac:dyDescent="0.3">
      <c r="A121" s="10"/>
      <c r="D121" s="10"/>
      <c r="K121" s="78" t="s">
        <v>409</v>
      </c>
      <c r="L121" s="79">
        <v>50</v>
      </c>
      <c r="M121" s="79">
        <v>16</v>
      </c>
      <c r="N121" s="80">
        <v>6.35</v>
      </c>
      <c r="O121" s="79">
        <v>7120</v>
      </c>
      <c r="P121" s="79">
        <v>23250</v>
      </c>
      <c r="Q121" s="79">
        <v>119</v>
      </c>
      <c r="R121" s="79">
        <v>109</v>
      </c>
      <c r="S121" s="78" t="s">
        <v>43</v>
      </c>
      <c r="T121" s="89" t="s">
        <v>84</v>
      </c>
      <c r="V121" s="85">
        <v>3.3</v>
      </c>
      <c r="W121" s="86">
        <v>2000</v>
      </c>
      <c r="X121" s="85">
        <v>16</v>
      </c>
      <c r="Y121" s="85">
        <v>5.7</v>
      </c>
      <c r="Z121" s="86">
        <v>7000</v>
      </c>
      <c r="AA121" s="85">
        <v>42.1</v>
      </c>
      <c r="AB121" s="38">
        <v>0</v>
      </c>
      <c r="AC121" s="85">
        <v>21</v>
      </c>
      <c r="AD121" s="87">
        <v>24</v>
      </c>
      <c r="AE121" s="88">
        <v>50</v>
      </c>
      <c r="AF121" s="78" t="s">
        <v>485</v>
      </c>
    </row>
    <row r="122" spans="1:32" x14ac:dyDescent="0.3">
      <c r="K122" s="78" t="s">
        <v>410</v>
      </c>
      <c r="L122" s="79">
        <v>50</v>
      </c>
      <c r="M122" s="79">
        <v>20</v>
      </c>
      <c r="N122" s="80">
        <v>7.9379999999999997</v>
      </c>
      <c r="O122" s="79">
        <v>7810</v>
      </c>
      <c r="P122" s="79">
        <v>22680</v>
      </c>
      <c r="Q122" s="79">
        <v>101</v>
      </c>
      <c r="R122" s="79">
        <v>114</v>
      </c>
      <c r="S122" s="78" t="s">
        <v>43</v>
      </c>
      <c r="T122" s="89" t="s">
        <v>83</v>
      </c>
      <c r="V122" s="85">
        <v>5</v>
      </c>
      <c r="W122" s="86">
        <v>3000</v>
      </c>
      <c r="X122" s="85">
        <v>16</v>
      </c>
      <c r="Y122" s="85">
        <v>8.6</v>
      </c>
      <c r="Z122" s="86">
        <v>7000</v>
      </c>
      <c r="AA122" s="85">
        <v>42.1</v>
      </c>
      <c r="AB122" s="38">
        <v>0</v>
      </c>
      <c r="AC122" s="85">
        <v>21</v>
      </c>
      <c r="AD122" s="87">
        <v>24</v>
      </c>
      <c r="AE122" s="88">
        <v>50</v>
      </c>
      <c r="AF122" s="78" t="s">
        <v>485</v>
      </c>
    </row>
    <row r="123" spans="1:32" ht="16.2" x14ac:dyDescent="0.3">
      <c r="A123" s="10"/>
      <c r="K123" s="78" t="s">
        <v>411</v>
      </c>
      <c r="L123" s="79">
        <v>55</v>
      </c>
      <c r="M123" s="79">
        <v>12</v>
      </c>
      <c r="N123" s="80">
        <v>6.35</v>
      </c>
      <c r="O123" s="79">
        <v>7340</v>
      </c>
      <c r="P123" s="79">
        <v>25280</v>
      </c>
      <c r="Q123" s="79">
        <v>128</v>
      </c>
      <c r="R123" s="79">
        <v>96</v>
      </c>
      <c r="S123" s="78" t="s">
        <v>43</v>
      </c>
      <c r="T123" s="89" t="s">
        <v>82</v>
      </c>
      <c r="V123" s="85">
        <v>7</v>
      </c>
      <c r="W123" s="86">
        <v>1500</v>
      </c>
      <c r="X123" s="85">
        <v>45</v>
      </c>
      <c r="Y123" s="85">
        <v>11.2</v>
      </c>
      <c r="Z123" s="86">
        <v>7000</v>
      </c>
      <c r="AA123" s="85">
        <v>108</v>
      </c>
      <c r="AB123" s="38">
        <v>0</v>
      </c>
      <c r="AC123" s="85">
        <v>30</v>
      </c>
      <c r="AD123" s="87">
        <v>24</v>
      </c>
      <c r="AE123" s="88">
        <v>60</v>
      </c>
      <c r="AF123" s="78" t="s">
        <v>485</v>
      </c>
    </row>
    <row r="124" spans="1:32" s="10" customFormat="1" ht="16.2" x14ac:dyDescent="0.3">
      <c r="A124" s="4" t="s">
        <v>49</v>
      </c>
      <c r="B124" s="16"/>
      <c r="C124" s="9"/>
      <c r="K124" s="78" t="s">
        <v>412</v>
      </c>
      <c r="L124" s="79">
        <v>45</v>
      </c>
      <c r="M124" s="79">
        <v>12</v>
      </c>
      <c r="N124" s="80">
        <v>10</v>
      </c>
      <c r="O124" s="79">
        <v>13600</v>
      </c>
      <c r="P124" s="79">
        <v>35400</v>
      </c>
      <c r="Q124" s="79"/>
      <c r="R124" s="79">
        <v>98</v>
      </c>
      <c r="S124" s="78" t="s">
        <v>43</v>
      </c>
      <c r="T124" s="89" t="s">
        <v>550</v>
      </c>
      <c r="U124" s="9"/>
      <c r="V124" s="85">
        <v>13</v>
      </c>
      <c r="W124" s="87">
        <v>3000</v>
      </c>
      <c r="X124" s="88">
        <v>45</v>
      </c>
      <c r="Y124" s="85">
        <v>22.4</v>
      </c>
      <c r="Z124" s="87">
        <v>7000</v>
      </c>
      <c r="AA124" s="88">
        <v>108</v>
      </c>
      <c r="AB124" s="38">
        <v>0</v>
      </c>
      <c r="AC124" s="85">
        <v>30</v>
      </c>
      <c r="AD124" s="87">
        <v>24</v>
      </c>
      <c r="AE124" s="88">
        <v>60</v>
      </c>
      <c r="AF124" s="78" t="s">
        <v>485</v>
      </c>
    </row>
    <row r="125" spans="1:32" s="10" customFormat="1" ht="19.8" x14ac:dyDescent="0.3">
      <c r="A125" s="30" t="s">
        <v>48</v>
      </c>
      <c r="B125" s="29" t="s">
        <v>47</v>
      </c>
      <c r="C125" s="29" t="s">
        <v>46</v>
      </c>
      <c r="K125" s="78" t="s">
        <v>413</v>
      </c>
      <c r="L125" s="79">
        <v>45</v>
      </c>
      <c r="M125" s="79">
        <v>16</v>
      </c>
      <c r="N125" s="80">
        <v>10</v>
      </c>
      <c r="O125" s="79">
        <v>13500</v>
      </c>
      <c r="P125" s="79">
        <v>35300</v>
      </c>
      <c r="Q125" s="79"/>
      <c r="R125" s="79">
        <v>122</v>
      </c>
      <c r="S125" s="78" t="s">
        <v>43</v>
      </c>
      <c r="T125" s="89" t="s">
        <v>80</v>
      </c>
      <c r="U125" s="9"/>
      <c r="V125" s="85">
        <v>7.1</v>
      </c>
      <c r="W125" s="86">
        <v>1500</v>
      </c>
      <c r="X125" s="85">
        <v>45</v>
      </c>
      <c r="Y125" s="85">
        <v>13.5</v>
      </c>
      <c r="Z125" s="86">
        <v>4000</v>
      </c>
      <c r="AA125" s="85">
        <v>121.5</v>
      </c>
      <c r="AB125" s="38">
        <v>0</v>
      </c>
      <c r="AC125" s="85">
        <v>35</v>
      </c>
      <c r="AD125" s="87">
        <v>42</v>
      </c>
      <c r="AE125" s="88">
        <v>80</v>
      </c>
      <c r="AF125" s="78" t="s">
        <v>485</v>
      </c>
    </row>
    <row r="126" spans="1:32" s="10" customFormat="1" ht="16.2" x14ac:dyDescent="0.3">
      <c r="A126" s="23" t="s">
        <v>45</v>
      </c>
      <c r="B126" s="28">
        <v>1.3</v>
      </c>
      <c r="C126" s="28">
        <v>1.8</v>
      </c>
      <c r="K126" s="78" t="s">
        <v>414</v>
      </c>
      <c r="L126" s="79">
        <v>45</v>
      </c>
      <c r="M126" s="79">
        <v>20</v>
      </c>
      <c r="N126" s="80">
        <v>10</v>
      </c>
      <c r="O126" s="79">
        <v>11000</v>
      </c>
      <c r="P126" s="79">
        <v>27900</v>
      </c>
      <c r="Q126" s="79"/>
      <c r="R126" s="79">
        <v>122</v>
      </c>
      <c r="S126" s="78" t="s">
        <v>43</v>
      </c>
      <c r="T126" s="89" t="s">
        <v>551</v>
      </c>
      <c r="U126" s="9"/>
      <c r="V126" s="85">
        <v>14.25</v>
      </c>
      <c r="W126" s="86">
        <v>3000</v>
      </c>
      <c r="X126" s="85">
        <v>45</v>
      </c>
      <c r="Y126" s="85">
        <v>27</v>
      </c>
      <c r="Z126" s="86">
        <v>4000</v>
      </c>
      <c r="AA126" s="85">
        <v>121.5</v>
      </c>
      <c r="AB126" s="38">
        <v>0</v>
      </c>
      <c r="AC126" s="85">
        <v>35</v>
      </c>
      <c r="AD126" s="87">
        <v>42</v>
      </c>
      <c r="AE126" s="88">
        <v>80</v>
      </c>
      <c r="AF126" s="78" t="s">
        <v>485</v>
      </c>
    </row>
    <row r="127" spans="1:32" s="10" customFormat="1" ht="16.2" x14ac:dyDescent="0.3">
      <c r="A127" s="23" t="s">
        <v>44</v>
      </c>
      <c r="B127" s="28">
        <v>1.1000000000000001</v>
      </c>
      <c r="C127" s="28">
        <v>1.2</v>
      </c>
      <c r="K127" s="78" t="s">
        <v>415</v>
      </c>
      <c r="L127" s="79">
        <v>50</v>
      </c>
      <c r="M127" s="79">
        <v>16</v>
      </c>
      <c r="N127" s="80">
        <v>13</v>
      </c>
      <c r="O127" s="79">
        <v>21100</v>
      </c>
      <c r="P127" s="79">
        <v>53700</v>
      </c>
      <c r="Q127" s="79"/>
      <c r="R127" s="79">
        <v>125</v>
      </c>
      <c r="S127" s="78" t="s">
        <v>43</v>
      </c>
      <c r="T127" s="89" t="s">
        <v>552</v>
      </c>
      <c r="U127" s="9"/>
      <c r="V127" s="85">
        <v>8.3000000000000007</v>
      </c>
      <c r="W127" s="86">
        <v>1500</v>
      </c>
      <c r="X127" s="85">
        <v>52</v>
      </c>
      <c r="Y127" s="85">
        <v>15.8</v>
      </c>
      <c r="Z127" s="86">
        <v>4000</v>
      </c>
      <c r="AA127" s="85">
        <v>140.9</v>
      </c>
      <c r="AB127" s="38">
        <v>0</v>
      </c>
      <c r="AC127" s="85">
        <v>45</v>
      </c>
      <c r="AD127" s="87">
        <v>42</v>
      </c>
      <c r="AE127" s="88">
        <v>80</v>
      </c>
      <c r="AF127" s="78" t="s">
        <v>485</v>
      </c>
    </row>
    <row r="128" spans="1:32" s="10" customFormat="1" ht="16.2" x14ac:dyDescent="0.3">
      <c r="A128" s="23" t="s">
        <v>42</v>
      </c>
      <c r="B128" s="28">
        <v>2</v>
      </c>
      <c r="C128" s="28">
        <v>3</v>
      </c>
      <c r="K128" s="78" t="s">
        <v>416</v>
      </c>
      <c r="L128" s="79">
        <v>50</v>
      </c>
      <c r="M128" s="79">
        <v>20</v>
      </c>
      <c r="N128" s="80">
        <v>13</v>
      </c>
      <c r="O128" s="79">
        <v>17200</v>
      </c>
      <c r="P128" s="79">
        <v>42400</v>
      </c>
      <c r="Q128" s="79"/>
      <c r="R128" s="79">
        <v>124</v>
      </c>
      <c r="S128" s="78" t="s">
        <v>43</v>
      </c>
      <c r="T128" s="89" t="s">
        <v>553</v>
      </c>
      <c r="U128" s="9"/>
      <c r="V128" s="85">
        <v>16.5</v>
      </c>
      <c r="W128" s="86">
        <v>3000</v>
      </c>
      <c r="X128" s="85">
        <v>52</v>
      </c>
      <c r="Y128" s="85">
        <v>31.5</v>
      </c>
      <c r="Z128" s="86">
        <v>4000</v>
      </c>
      <c r="AA128" s="85">
        <v>140.9</v>
      </c>
      <c r="AB128" s="38">
        <v>0</v>
      </c>
      <c r="AC128" s="85">
        <v>45</v>
      </c>
      <c r="AD128" s="87">
        <v>42</v>
      </c>
      <c r="AE128" s="88">
        <v>80</v>
      </c>
      <c r="AF128" s="78" t="s">
        <v>485</v>
      </c>
    </row>
    <row r="129" spans="1:32" s="10" customFormat="1" ht="16.8" thickBot="1" x14ac:dyDescent="0.35">
      <c r="A129" s="20"/>
      <c r="B129" s="27"/>
      <c r="C129" s="27"/>
      <c r="K129" s="78" t="s">
        <v>417</v>
      </c>
      <c r="L129" s="79">
        <v>63</v>
      </c>
      <c r="M129" s="79">
        <v>32</v>
      </c>
      <c r="N129" s="80">
        <v>16</v>
      </c>
      <c r="O129" s="79">
        <v>25500</v>
      </c>
      <c r="P129" s="79">
        <v>66000</v>
      </c>
      <c r="Q129" s="79"/>
      <c r="R129" s="79">
        <v>176</v>
      </c>
      <c r="S129" s="78" t="s">
        <v>43</v>
      </c>
      <c r="T129" s="78" t="s">
        <v>554</v>
      </c>
      <c r="U129" s="9" t="s">
        <v>564</v>
      </c>
      <c r="V129" s="85">
        <v>0.05</v>
      </c>
      <c r="W129" s="86">
        <v>3000</v>
      </c>
      <c r="X129" s="85">
        <v>0.16</v>
      </c>
      <c r="Y129" s="85">
        <v>0.43</v>
      </c>
      <c r="Z129" s="86">
        <v>6000</v>
      </c>
      <c r="AA129" s="85">
        <v>0.48</v>
      </c>
      <c r="AB129" s="38">
        <v>2.7</v>
      </c>
      <c r="AC129" s="85">
        <v>0.55000000000000004</v>
      </c>
      <c r="AD129" s="87">
        <v>8</v>
      </c>
      <c r="AE129" s="88">
        <v>21.5</v>
      </c>
      <c r="AF129" s="78" t="s">
        <v>555</v>
      </c>
    </row>
    <row r="130" spans="1:32" ht="20.399999999999999" thickBot="1" x14ac:dyDescent="0.35">
      <c r="A130" s="4" t="s">
        <v>41</v>
      </c>
      <c r="B130" s="25">
        <f>+(B69*60*B116)^0.333333333333333*F120*B138*10^-2</f>
        <v>2569.9213680067041</v>
      </c>
      <c r="C130" s="9" t="s">
        <v>40</v>
      </c>
      <c r="D130" s="14">
        <f>+B10</f>
        <v>2560</v>
      </c>
      <c r="F130" s="26"/>
      <c r="K130" s="78" t="s">
        <v>418</v>
      </c>
      <c r="L130" s="79">
        <v>63</v>
      </c>
      <c r="M130" s="79">
        <v>40</v>
      </c>
      <c r="N130" s="80">
        <v>16</v>
      </c>
      <c r="O130" s="79">
        <v>35300</v>
      </c>
      <c r="P130" s="79">
        <v>96600</v>
      </c>
      <c r="Q130" s="79"/>
      <c r="R130" s="79">
        <v>169</v>
      </c>
      <c r="S130" s="78" t="s">
        <v>43</v>
      </c>
      <c r="T130" s="78" t="s">
        <v>556</v>
      </c>
      <c r="U130" s="9" t="s">
        <v>564</v>
      </c>
      <c r="V130" s="85">
        <v>0.1</v>
      </c>
      <c r="W130" s="86">
        <v>3000</v>
      </c>
      <c r="X130" s="85">
        <v>0.3</v>
      </c>
      <c r="Y130" s="85">
        <v>0.85</v>
      </c>
      <c r="Z130" s="86">
        <v>6000</v>
      </c>
      <c r="AA130" s="85">
        <v>0.96</v>
      </c>
      <c r="AB130" s="38">
        <v>2.7</v>
      </c>
      <c r="AC130" s="85">
        <v>0.67</v>
      </c>
      <c r="AD130" s="87">
        <v>8</v>
      </c>
      <c r="AE130" s="88">
        <v>21.5</v>
      </c>
      <c r="AF130" s="78" t="s">
        <v>555</v>
      </c>
    </row>
    <row r="131" spans="1:32" ht="16.2" x14ac:dyDescent="0.3">
      <c r="A131" s="10"/>
      <c r="K131" s="78" t="s">
        <v>419</v>
      </c>
      <c r="L131" s="79">
        <v>80</v>
      </c>
      <c r="M131" s="79">
        <v>50</v>
      </c>
      <c r="N131" s="80">
        <v>19</v>
      </c>
      <c r="O131" s="79">
        <v>66600</v>
      </c>
      <c r="P131" s="79">
        <v>204000</v>
      </c>
      <c r="Q131" s="79"/>
      <c r="R131" s="79">
        <v>255</v>
      </c>
      <c r="S131" s="78" t="s">
        <v>43</v>
      </c>
      <c r="T131" s="78" t="s">
        <v>557</v>
      </c>
      <c r="U131" s="9" t="s">
        <v>565</v>
      </c>
      <c r="V131" s="85">
        <v>0.2</v>
      </c>
      <c r="W131" s="86">
        <v>3000</v>
      </c>
      <c r="X131" s="85">
        <v>0.64</v>
      </c>
      <c r="Y131" s="85">
        <v>1.7</v>
      </c>
      <c r="Z131" s="86">
        <v>6000</v>
      </c>
      <c r="AA131" s="85">
        <v>1.92</v>
      </c>
      <c r="AB131" s="38">
        <v>5.2</v>
      </c>
      <c r="AC131" s="85">
        <v>1.23</v>
      </c>
      <c r="AD131" s="87">
        <v>14</v>
      </c>
      <c r="AE131" s="88">
        <v>25</v>
      </c>
      <c r="AF131" s="78" t="s">
        <v>555</v>
      </c>
    </row>
    <row r="132" spans="1:32" x14ac:dyDescent="0.3">
      <c r="K132" s="78" t="s">
        <v>420</v>
      </c>
      <c r="L132" s="79">
        <v>100</v>
      </c>
      <c r="M132" s="79">
        <v>60</v>
      </c>
      <c r="N132" s="80">
        <v>19</v>
      </c>
      <c r="O132" s="79">
        <v>73400</v>
      </c>
      <c r="P132" s="79">
        <v>251500</v>
      </c>
      <c r="Q132" s="79"/>
      <c r="R132" s="79">
        <v>295</v>
      </c>
      <c r="S132" s="78" t="s">
        <v>43</v>
      </c>
      <c r="T132" s="78" t="s">
        <v>558</v>
      </c>
      <c r="U132" s="9" t="s">
        <v>566</v>
      </c>
      <c r="V132" s="85">
        <v>0.4</v>
      </c>
      <c r="W132" s="86">
        <v>3000</v>
      </c>
      <c r="X132" s="85">
        <v>1.27</v>
      </c>
      <c r="Y132" s="85">
        <v>2.8</v>
      </c>
      <c r="Z132" s="86">
        <v>6000</v>
      </c>
      <c r="AA132" s="85">
        <v>3.81</v>
      </c>
      <c r="AB132" s="38">
        <v>9</v>
      </c>
      <c r="AC132" s="85">
        <v>1.59</v>
      </c>
      <c r="AD132" s="87">
        <v>14</v>
      </c>
      <c r="AE132" s="88">
        <v>25</v>
      </c>
      <c r="AF132" s="78" t="s">
        <v>555</v>
      </c>
    </row>
    <row r="133" spans="1:32" ht="15.6" thickBot="1" x14ac:dyDescent="0.35">
      <c r="K133" s="78" t="s">
        <v>421</v>
      </c>
      <c r="L133" s="79">
        <v>40</v>
      </c>
      <c r="M133" s="79">
        <v>10</v>
      </c>
      <c r="N133" s="80">
        <v>7.9379999999999997</v>
      </c>
      <c r="O133" s="79">
        <v>15000</v>
      </c>
      <c r="P133" s="79">
        <v>41800</v>
      </c>
      <c r="Q133" s="79"/>
      <c r="R133" s="79">
        <v>124</v>
      </c>
      <c r="S133" s="78" t="s">
        <v>43</v>
      </c>
      <c r="T133" s="78" t="s">
        <v>559</v>
      </c>
      <c r="U133" s="9" t="s">
        <v>567</v>
      </c>
      <c r="V133" s="85">
        <v>0.75</v>
      </c>
      <c r="W133" s="86">
        <v>3000</v>
      </c>
      <c r="X133" s="85">
        <v>2.4</v>
      </c>
      <c r="Y133" s="85">
        <v>5.8</v>
      </c>
      <c r="Z133" s="86">
        <v>6000</v>
      </c>
      <c r="AA133" s="85">
        <v>7.2</v>
      </c>
      <c r="AB133" s="38">
        <v>18.5</v>
      </c>
      <c r="AC133" s="85">
        <v>2.87</v>
      </c>
      <c r="AD133" s="87">
        <v>19</v>
      </c>
      <c r="AE133" s="88">
        <v>35.5</v>
      </c>
      <c r="AF133" s="78" t="s">
        <v>555</v>
      </c>
    </row>
    <row r="134" spans="1:32" ht="20.399999999999999" thickBot="1" x14ac:dyDescent="0.35">
      <c r="A134" s="4" t="s">
        <v>39</v>
      </c>
      <c r="B134" s="25">
        <f>+(B10/(F120*B138))^3*(1/(60*B116))*10^6</f>
        <v>3459.6202785788432</v>
      </c>
      <c r="C134" s="9" t="s">
        <v>38</v>
      </c>
      <c r="D134" s="14">
        <f>+B69</f>
        <v>3500</v>
      </c>
      <c r="E134" s="11"/>
      <c r="K134" s="78" t="s">
        <v>422</v>
      </c>
      <c r="L134" s="79">
        <v>40</v>
      </c>
      <c r="M134" s="79">
        <v>12</v>
      </c>
      <c r="N134" s="80">
        <v>10</v>
      </c>
      <c r="O134" s="79">
        <v>18600</v>
      </c>
      <c r="P134" s="79">
        <v>48200</v>
      </c>
      <c r="Q134" s="79"/>
      <c r="R134" s="79">
        <v>156</v>
      </c>
      <c r="S134" s="78" t="s">
        <v>43</v>
      </c>
      <c r="T134" s="78" t="s">
        <v>560</v>
      </c>
      <c r="U134" s="9" t="s">
        <v>568</v>
      </c>
      <c r="V134" s="85">
        <v>1</v>
      </c>
      <c r="W134" s="86">
        <v>2000</v>
      </c>
      <c r="X134" s="85">
        <v>4.78</v>
      </c>
      <c r="Y134" s="85">
        <v>5.8</v>
      </c>
      <c r="Z134" s="86">
        <v>3500</v>
      </c>
      <c r="AA134" s="85">
        <v>14.4</v>
      </c>
      <c r="AB134" s="38">
        <v>17.399999999999999</v>
      </c>
      <c r="AC134" s="85">
        <v>7.4</v>
      </c>
      <c r="AD134" s="87">
        <v>24</v>
      </c>
      <c r="AE134" s="88">
        <v>50</v>
      </c>
      <c r="AF134" s="78" t="s">
        <v>555</v>
      </c>
    </row>
    <row r="135" spans="1:32" ht="16.2" x14ac:dyDescent="0.3">
      <c r="A135" s="10"/>
      <c r="F135" s="11"/>
      <c r="K135" s="78" t="s">
        <v>423</v>
      </c>
      <c r="L135" s="79">
        <v>50</v>
      </c>
      <c r="M135" s="79">
        <v>10</v>
      </c>
      <c r="N135" s="80">
        <v>7.9379999999999997</v>
      </c>
      <c r="O135" s="79">
        <v>16700</v>
      </c>
      <c r="P135" s="79">
        <v>63700</v>
      </c>
      <c r="Q135" s="79"/>
      <c r="R135" s="79">
        <v>133</v>
      </c>
      <c r="S135" s="78" t="s">
        <v>43</v>
      </c>
      <c r="T135" s="78" t="s">
        <v>561</v>
      </c>
      <c r="U135" s="9" t="s">
        <v>569</v>
      </c>
      <c r="V135" s="85">
        <v>1.5</v>
      </c>
      <c r="W135" s="86">
        <v>2000</v>
      </c>
      <c r="X135" s="85">
        <v>7.16</v>
      </c>
      <c r="Y135" s="85">
        <v>8.5</v>
      </c>
      <c r="Z135" s="86">
        <v>3500</v>
      </c>
      <c r="AA135" s="85">
        <v>21.6</v>
      </c>
      <c r="AB135" s="38">
        <v>25.2</v>
      </c>
      <c r="AC135" s="85">
        <v>8.6999999999999993</v>
      </c>
      <c r="AD135" s="87">
        <v>24</v>
      </c>
      <c r="AE135" s="88">
        <v>50</v>
      </c>
      <c r="AF135" s="78" t="s">
        <v>555</v>
      </c>
    </row>
    <row r="136" spans="1:32" x14ac:dyDescent="0.3">
      <c r="K136" s="78" t="s">
        <v>424</v>
      </c>
      <c r="L136" s="79">
        <v>50</v>
      </c>
      <c r="M136" s="79">
        <v>16</v>
      </c>
      <c r="N136" s="80">
        <v>12.7</v>
      </c>
      <c r="O136" s="79">
        <v>31200</v>
      </c>
      <c r="P136" s="79">
        <v>83500</v>
      </c>
      <c r="Q136" s="79"/>
      <c r="R136" s="79">
        <v>200</v>
      </c>
      <c r="S136" s="78" t="s">
        <v>43</v>
      </c>
      <c r="T136" s="78" t="s">
        <v>562</v>
      </c>
      <c r="U136" s="9" t="s">
        <v>570</v>
      </c>
      <c r="V136" s="85">
        <v>2</v>
      </c>
      <c r="W136" s="86">
        <v>2000</v>
      </c>
      <c r="X136" s="85">
        <v>9.5500000000000007</v>
      </c>
      <c r="Y136" s="85">
        <v>11</v>
      </c>
      <c r="Z136" s="86">
        <v>3500</v>
      </c>
      <c r="AA136" s="85">
        <v>28.5</v>
      </c>
      <c r="AB136" s="38">
        <v>33</v>
      </c>
      <c r="AC136" s="85">
        <v>9.9</v>
      </c>
      <c r="AD136" s="87">
        <v>24</v>
      </c>
      <c r="AE136" s="88">
        <v>50</v>
      </c>
      <c r="AF136" s="78" t="s">
        <v>555</v>
      </c>
    </row>
    <row r="137" spans="1:32" x14ac:dyDescent="0.3">
      <c r="K137" s="78" t="s">
        <v>425</v>
      </c>
      <c r="L137" s="79">
        <v>50</v>
      </c>
      <c r="M137" s="79">
        <v>16</v>
      </c>
      <c r="N137" s="80">
        <v>12.7</v>
      </c>
      <c r="O137" s="79">
        <v>24800</v>
      </c>
      <c r="P137" s="79">
        <v>63700</v>
      </c>
      <c r="Q137" s="79"/>
      <c r="R137" s="79">
        <v>168</v>
      </c>
      <c r="S137" s="78" t="s">
        <v>43</v>
      </c>
      <c r="T137" s="78" t="s">
        <v>563</v>
      </c>
      <c r="U137" s="9" t="s">
        <v>571</v>
      </c>
      <c r="V137" s="85">
        <v>3</v>
      </c>
      <c r="W137" s="86">
        <v>2000</v>
      </c>
      <c r="X137" s="85">
        <v>14.3</v>
      </c>
      <c r="Y137" s="85">
        <v>16</v>
      </c>
      <c r="Z137" s="86">
        <v>3500</v>
      </c>
      <c r="AA137" s="85">
        <v>43</v>
      </c>
      <c r="AB137" s="38">
        <v>48</v>
      </c>
      <c r="AC137" s="85">
        <v>12.4</v>
      </c>
      <c r="AD137" s="87">
        <v>24</v>
      </c>
      <c r="AE137" s="88">
        <v>50</v>
      </c>
      <c r="AF137" s="78" t="s">
        <v>555</v>
      </c>
    </row>
    <row r="138" spans="1:32" ht="19.8" x14ac:dyDescent="0.3">
      <c r="A138" s="4" t="s">
        <v>37</v>
      </c>
      <c r="B138" s="24">
        <v>1.1000000000000001</v>
      </c>
      <c r="D138" s="9">
        <v>1.1000000000000001</v>
      </c>
      <c r="K138" s="78" t="s">
        <v>426</v>
      </c>
      <c r="L138" s="79">
        <v>50</v>
      </c>
      <c r="M138" s="79">
        <v>20</v>
      </c>
      <c r="N138" s="80">
        <v>13</v>
      </c>
      <c r="O138" s="79">
        <v>31200</v>
      </c>
      <c r="P138" s="79">
        <v>84800</v>
      </c>
      <c r="Q138" s="79"/>
      <c r="R138" s="79">
        <v>235</v>
      </c>
      <c r="S138" s="78" t="s">
        <v>43</v>
      </c>
    </row>
    <row r="139" spans="1:32" ht="16.2" x14ac:dyDescent="0.3">
      <c r="A139" s="23" t="s">
        <v>36</v>
      </c>
      <c r="B139" s="92" t="s">
        <v>35</v>
      </c>
      <c r="C139" s="92"/>
      <c r="K139" s="78" t="s">
        <v>427</v>
      </c>
      <c r="L139" s="79">
        <v>55</v>
      </c>
      <c r="M139" s="79">
        <v>10</v>
      </c>
      <c r="N139" s="80">
        <v>7.9379999999999997</v>
      </c>
      <c r="O139" s="79">
        <v>17500</v>
      </c>
      <c r="P139" s="79">
        <v>58500</v>
      </c>
      <c r="Q139" s="79"/>
      <c r="R139" s="79">
        <v>153</v>
      </c>
      <c r="S139" s="78" t="s">
        <v>43</v>
      </c>
    </row>
    <row r="140" spans="1:32" ht="16.2" x14ac:dyDescent="0.3">
      <c r="A140" s="23" t="s">
        <v>34</v>
      </c>
      <c r="B140" s="22">
        <v>1</v>
      </c>
      <c r="C140" s="21">
        <v>1.2</v>
      </c>
      <c r="K140" s="78" t="s">
        <v>428</v>
      </c>
      <c r="L140" s="79">
        <v>55</v>
      </c>
      <c r="M140" s="79">
        <v>16</v>
      </c>
      <c r="N140" s="80">
        <v>12.7</v>
      </c>
      <c r="O140" s="79">
        <v>32600</v>
      </c>
      <c r="P140" s="79">
        <v>94000</v>
      </c>
      <c r="Q140" s="79"/>
      <c r="R140" s="79">
        <v>200</v>
      </c>
      <c r="S140" s="78" t="s">
        <v>43</v>
      </c>
    </row>
    <row r="141" spans="1:32" ht="16.2" x14ac:dyDescent="0.3">
      <c r="A141" s="23" t="s">
        <v>33</v>
      </c>
      <c r="B141" s="22">
        <v>1.2</v>
      </c>
      <c r="C141" s="21">
        <v>1.5</v>
      </c>
      <c r="K141" s="78" t="s">
        <v>429</v>
      </c>
      <c r="L141" s="79">
        <v>55</v>
      </c>
      <c r="M141" s="79">
        <v>16</v>
      </c>
      <c r="N141" s="80">
        <v>12.7</v>
      </c>
      <c r="O141" s="79">
        <v>25800</v>
      </c>
      <c r="P141" s="79">
        <v>71800</v>
      </c>
      <c r="Q141" s="79"/>
      <c r="R141" s="79">
        <v>168</v>
      </c>
      <c r="S141" s="78" t="s">
        <v>43</v>
      </c>
    </row>
    <row r="142" spans="1:32" ht="16.2" x14ac:dyDescent="0.3">
      <c r="A142" s="23" t="s">
        <v>32</v>
      </c>
      <c r="B142" s="22">
        <v>1.5</v>
      </c>
      <c r="C142" s="21">
        <v>3</v>
      </c>
      <c r="K142" s="78" t="s">
        <v>430</v>
      </c>
      <c r="L142" s="79">
        <v>63</v>
      </c>
      <c r="M142" s="79">
        <v>20</v>
      </c>
      <c r="N142" s="80">
        <v>15.875</v>
      </c>
      <c r="O142" s="79">
        <v>35900</v>
      </c>
      <c r="P142" s="79">
        <v>99300</v>
      </c>
      <c r="Q142" s="79"/>
      <c r="R142" s="79">
        <v>210</v>
      </c>
      <c r="S142" s="78" t="s">
        <v>43</v>
      </c>
    </row>
    <row r="143" spans="1:32" ht="16.2" x14ac:dyDescent="0.3">
      <c r="A143" s="20"/>
      <c r="B143" s="19"/>
      <c r="C143" s="18"/>
      <c r="K143" s="78" t="s">
        <v>431</v>
      </c>
      <c r="L143" s="79">
        <v>63</v>
      </c>
      <c r="M143" s="79">
        <v>20</v>
      </c>
      <c r="N143" s="80">
        <v>15.875</v>
      </c>
      <c r="O143" s="79">
        <v>46600</v>
      </c>
      <c r="P143" s="79">
        <v>134700</v>
      </c>
      <c r="Q143" s="79"/>
      <c r="R143" s="79">
        <v>246</v>
      </c>
      <c r="S143" s="78" t="s">
        <v>43</v>
      </c>
    </row>
    <row r="144" spans="1:32" ht="16.2" x14ac:dyDescent="0.3">
      <c r="A144" s="13" t="s">
        <v>31</v>
      </c>
      <c r="K144" s="78" t="s">
        <v>432</v>
      </c>
      <c r="L144" s="79">
        <v>63</v>
      </c>
      <c r="M144" s="79">
        <v>25</v>
      </c>
      <c r="N144" s="80">
        <v>15.875</v>
      </c>
      <c r="O144" s="79">
        <v>35900</v>
      </c>
      <c r="P144" s="79">
        <v>99300</v>
      </c>
      <c r="Q144" s="79"/>
      <c r="R144" s="79">
        <v>235</v>
      </c>
      <c r="S144" s="78" t="s">
        <v>43</v>
      </c>
    </row>
    <row r="145" spans="1:19" ht="19.8" x14ac:dyDescent="0.3">
      <c r="A145" s="13" t="s">
        <v>30</v>
      </c>
      <c r="B145" s="11">
        <v>0.9</v>
      </c>
      <c r="C145" s="9" t="s">
        <v>29</v>
      </c>
      <c r="K145" s="78" t="s">
        <v>433</v>
      </c>
      <c r="L145" s="81">
        <v>80</v>
      </c>
      <c r="M145" s="81">
        <v>16</v>
      </c>
      <c r="N145" s="82">
        <v>12.7</v>
      </c>
      <c r="O145" s="81">
        <v>39000</v>
      </c>
      <c r="P145" s="81">
        <v>136700</v>
      </c>
      <c r="Q145" s="81"/>
      <c r="R145" s="81">
        <v>205</v>
      </c>
      <c r="S145" s="78" t="s">
        <v>43</v>
      </c>
    </row>
    <row r="146" spans="1:19" ht="19.8" x14ac:dyDescent="0.3">
      <c r="A146" s="13" t="s">
        <v>28</v>
      </c>
      <c r="B146" s="11">
        <f>+$F$120*B9/(2*PI()*B145)</f>
        <v>864.36510604330977</v>
      </c>
      <c r="C146" s="9" t="s">
        <v>14</v>
      </c>
      <c r="K146" s="78" t="s">
        <v>434</v>
      </c>
      <c r="L146" s="81">
        <v>80</v>
      </c>
      <c r="M146" s="81">
        <v>16</v>
      </c>
      <c r="N146" s="82">
        <v>12.7</v>
      </c>
      <c r="O146" s="81">
        <v>56000</v>
      </c>
      <c r="P146" s="81">
        <v>208700</v>
      </c>
      <c r="Q146" s="81"/>
      <c r="R146" s="81">
        <v>275</v>
      </c>
      <c r="S146" s="78" t="s">
        <v>43</v>
      </c>
    </row>
    <row r="147" spans="1:19" ht="16.2" x14ac:dyDescent="0.3">
      <c r="A147" s="10"/>
      <c r="K147" s="78" t="s">
        <v>435</v>
      </c>
      <c r="L147" s="79">
        <v>80</v>
      </c>
      <c r="M147" s="79">
        <v>20</v>
      </c>
      <c r="N147" s="80">
        <v>15.875</v>
      </c>
      <c r="O147" s="79">
        <v>52100</v>
      </c>
      <c r="P147" s="79">
        <v>172400</v>
      </c>
      <c r="Q147" s="79"/>
      <c r="R147" s="79">
        <v>250</v>
      </c>
      <c r="S147" s="78" t="s">
        <v>43</v>
      </c>
    </row>
    <row r="148" spans="1:19" ht="16.2" x14ac:dyDescent="0.3">
      <c r="A148" s="13"/>
      <c r="K148" s="78" t="s">
        <v>436</v>
      </c>
      <c r="L148" s="79">
        <v>80</v>
      </c>
      <c r="M148" s="79">
        <v>20</v>
      </c>
      <c r="N148" s="80">
        <v>15.875</v>
      </c>
      <c r="O148" s="79">
        <v>75000</v>
      </c>
      <c r="P148" s="79">
        <v>263200</v>
      </c>
      <c r="Q148" s="79"/>
      <c r="R148" s="79">
        <v>330</v>
      </c>
      <c r="S148" s="78" t="s">
        <v>43</v>
      </c>
    </row>
    <row r="149" spans="1:19" ht="16.2" x14ac:dyDescent="0.3">
      <c r="A149" s="10"/>
      <c r="B149" s="10"/>
      <c r="K149" s="78" t="s">
        <v>437</v>
      </c>
      <c r="L149" s="79">
        <v>80</v>
      </c>
      <c r="M149" s="79">
        <v>25</v>
      </c>
      <c r="N149" s="80">
        <v>19.05</v>
      </c>
      <c r="O149" s="79">
        <v>67700</v>
      </c>
      <c r="P149" s="79">
        <v>206100</v>
      </c>
      <c r="Q149" s="79"/>
      <c r="R149" s="79">
        <v>305</v>
      </c>
      <c r="S149" s="78" t="s">
        <v>43</v>
      </c>
    </row>
    <row r="150" spans="1:19" ht="16.2" x14ac:dyDescent="0.3">
      <c r="A150" s="10"/>
      <c r="K150" s="78" t="s">
        <v>438</v>
      </c>
      <c r="L150" s="79">
        <v>80</v>
      </c>
      <c r="M150" s="79">
        <v>25</v>
      </c>
      <c r="N150" s="80">
        <v>19.05</v>
      </c>
      <c r="O150" s="79">
        <v>97200</v>
      </c>
      <c r="P150" s="79">
        <v>314600</v>
      </c>
      <c r="Q150" s="79"/>
      <c r="R150" s="79">
        <v>402</v>
      </c>
      <c r="S150" s="78" t="s">
        <v>43</v>
      </c>
    </row>
    <row r="151" spans="1:19" x14ac:dyDescent="0.3">
      <c r="K151" s="78" t="s">
        <v>439</v>
      </c>
      <c r="L151" s="79">
        <v>45</v>
      </c>
      <c r="M151" s="79">
        <v>10</v>
      </c>
      <c r="N151" s="80">
        <v>6</v>
      </c>
      <c r="O151" s="79">
        <v>7760</v>
      </c>
      <c r="P151" s="79">
        <v>23550</v>
      </c>
      <c r="Q151" s="79">
        <v>119</v>
      </c>
      <c r="R151" s="79">
        <v>131</v>
      </c>
      <c r="S151" s="78" t="s">
        <v>43</v>
      </c>
    </row>
    <row r="152" spans="1:19" x14ac:dyDescent="0.3">
      <c r="K152" s="78" t="s">
        <v>440</v>
      </c>
      <c r="L152" s="79">
        <v>45</v>
      </c>
      <c r="M152" s="79">
        <v>12</v>
      </c>
      <c r="N152" s="80">
        <v>7</v>
      </c>
      <c r="O152" s="79">
        <v>9120</v>
      </c>
      <c r="P152" s="79">
        <v>26850</v>
      </c>
      <c r="Q152" s="79">
        <v>121</v>
      </c>
      <c r="R152" s="79">
        <v>148</v>
      </c>
      <c r="S152" s="78" t="s">
        <v>43</v>
      </c>
    </row>
    <row r="153" spans="1:19" x14ac:dyDescent="0.3">
      <c r="K153" s="78" t="s">
        <v>441</v>
      </c>
      <c r="L153" s="79">
        <v>50</v>
      </c>
      <c r="M153" s="79">
        <v>10</v>
      </c>
      <c r="N153" s="80">
        <v>6</v>
      </c>
      <c r="O153" s="79">
        <v>8200</v>
      </c>
      <c r="P153" s="79">
        <v>26130</v>
      </c>
      <c r="Q153" s="79">
        <v>130</v>
      </c>
      <c r="R153" s="79">
        <v>131</v>
      </c>
      <c r="S153" s="78" t="s">
        <v>43</v>
      </c>
    </row>
    <row r="154" spans="1:19" x14ac:dyDescent="0.3">
      <c r="K154" s="78" t="s">
        <v>442</v>
      </c>
      <c r="L154" s="79">
        <v>20</v>
      </c>
      <c r="M154" s="79">
        <v>10</v>
      </c>
      <c r="N154" s="80">
        <v>4.7619999999999996</v>
      </c>
      <c r="O154" s="79">
        <v>1100</v>
      </c>
      <c r="P154" s="79">
        <v>2200</v>
      </c>
      <c r="Q154" s="79">
        <v>16</v>
      </c>
      <c r="R154" s="79">
        <v>61</v>
      </c>
      <c r="S154" s="78" t="s">
        <v>43</v>
      </c>
    </row>
    <row r="155" spans="1:19" x14ac:dyDescent="0.3">
      <c r="K155" s="78" t="s">
        <v>443</v>
      </c>
      <c r="L155" s="79">
        <v>25</v>
      </c>
      <c r="M155" s="79">
        <v>10</v>
      </c>
      <c r="N155" s="80">
        <v>4.7619999999999996</v>
      </c>
      <c r="O155" s="79">
        <v>1270</v>
      </c>
      <c r="P155" s="79">
        <v>2780</v>
      </c>
      <c r="Q155" s="79">
        <v>20</v>
      </c>
      <c r="R155" s="79">
        <v>65</v>
      </c>
      <c r="S155" s="78" t="s">
        <v>43</v>
      </c>
    </row>
    <row r="156" spans="1:19" x14ac:dyDescent="0.3">
      <c r="K156" s="78" t="s">
        <v>444</v>
      </c>
      <c r="L156" s="79">
        <v>25</v>
      </c>
      <c r="M156" s="79">
        <v>10</v>
      </c>
      <c r="N156" s="80">
        <v>6.35</v>
      </c>
      <c r="O156" s="79">
        <v>3200</v>
      </c>
      <c r="P156" s="79">
        <v>7170</v>
      </c>
      <c r="Q156" s="79">
        <v>40</v>
      </c>
      <c r="R156" s="79">
        <v>97</v>
      </c>
      <c r="S156" s="78" t="s">
        <v>43</v>
      </c>
    </row>
    <row r="157" spans="1:19" ht="16.2" x14ac:dyDescent="0.3">
      <c r="A157" s="10"/>
      <c r="K157" s="78" t="s">
        <v>445</v>
      </c>
      <c r="L157" s="79">
        <v>40</v>
      </c>
      <c r="M157" s="79">
        <v>10</v>
      </c>
      <c r="N157" s="80">
        <v>6.35</v>
      </c>
      <c r="O157" s="79">
        <v>3520</v>
      </c>
      <c r="P157" s="79">
        <v>12000</v>
      </c>
      <c r="Q157" s="79">
        <v>59</v>
      </c>
      <c r="R157" s="79">
        <v>100</v>
      </c>
      <c r="S157" s="78" t="s">
        <v>43</v>
      </c>
    </row>
    <row r="158" spans="1:19" x14ac:dyDescent="0.3">
      <c r="K158" s="78" t="s">
        <v>446</v>
      </c>
      <c r="L158" s="79">
        <v>40</v>
      </c>
      <c r="M158" s="79">
        <v>10</v>
      </c>
      <c r="N158" s="80"/>
      <c r="O158" s="79">
        <v>16260</v>
      </c>
      <c r="P158" s="79">
        <v>33600</v>
      </c>
      <c r="Q158" s="79">
        <v>191</v>
      </c>
      <c r="R158" s="79">
        <v>135</v>
      </c>
      <c r="S158" s="78" t="s">
        <v>318</v>
      </c>
    </row>
    <row r="159" spans="1:19" x14ac:dyDescent="0.3">
      <c r="K159" s="78" t="s">
        <v>447</v>
      </c>
      <c r="L159" s="79">
        <v>40</v>
      </c>
      <c r="M159" s="79">
        <v>12</v>
      </c>
      <c r="N159" s="80"/>
      <c r="O159" s="79">
        <v>21240</v>
      </c>
      <c r="P159" s="79">
        <v>44160</v>
      </c>
      <c r="Q159" s="79">
        <v>192</v>
      </c>
      <c r="R159" s="79">
        <v>152</v>
      </c>
      <c r="S159" s="78" t="s">
        <v>318</v>
      </c>
    </row>
    <row r="160" spans="1:19" x14ac:dyDescent="0.3">
      <c r="K160" s="78" t="s">
        <v>448</v>
      </c>
      <c r="L160" s="79">
        <v>50</v>
      </c>
      <c r="M160" s="79">
        <v>16</v>
      </c>
      <c r="N160" s="80"/>
      <c r="O160" s="79">
        <v>37960</v>
      </c>
      <c r="P160" s="79">
        <v>82090</v>
      </c>
      <c r="Q160" s="79">
        <v>239</v>
      </c>
      <c r="R160" s="79">
        <v>211</v>
      </c>
      <c r="S160" s="78" t="s">
        <v>318</v>
      </c>
    </row>
    <row r="161" spans="11:19" x14ac:dyDescent="0.3">
      <c r="K161" s="78" t="s">
        <v>449</v>
      </c>
      <c r="L161" s="79">
        <v>150</v>
      </c>
      <c r="M161" s="79">
        <v>20</v>
      </c>
      <c r="N161" s="80"/>
      <c r="O161" s="79">
        <v>228571</v>
      </c>
      <c r="P161" s="79">
        <v>1067245</v>
      </c>
      <c r="Q161" s="79"/>
      <c r="R161" s="79">
        <v>400</v>
      </c>
      <c r="S161" s="78" t="s">
        <v>286</v>
      </c>
    </row>
    <row r="162" spans="11:19" x14ac:dyDescent="0.3">
      <c r="K162" s="78" t="s">
        <v>450</v>
      </c>
      <c r="L162" s="79">
        <v>180</v>
      </c>
      <c r="M162" s="79">
        <v>20</v>
      </c>
      <c r="N162" s="80"/>
      <c r="O162" s="79">
        <v>318673</v>
      </c>
      <c r="P162" s="79">
        <v>1767245</v>
      </c>
      <c r="Q162" s="79"/>
      <c r="R162" s="79">
        <v>400</v>
      </c>
      <c r="S162" s="78" t="s">
        <v>286</v>
      </c>
    </row>
    <row r="163" spans="11:19" x14ac:dyDescent="0.3">
      <c r="K163" s="78" t="s">
        <v>451</v>
      </c>
      <c r="L163" s="79">
        <v>180</v>
      </c>
      <c r="M163" s="79">
        <v>30</v>
      </c>
      <c r="N163" s="80"/>
      <c r="O163" s="79">
        <v>307041</v>
      </c>
      <c r="P163" s="79">
        <v>1611224</v>
      </c>
      <c r="Q163" s="79"/>
      <c r="R163" s="79">
        <v>400</v>
      </c>
      <c r="S163" s="78" t="s">
        <v>286</v>
      </c>
    </row>
    <row r="164" spans="11:19" x14ac:dyDescent="0.3">
      <c r="K164" s="78" t="s">
        <v>452</v>
      </c>
      <c r="L164" s="79">
        <v>210</v>
      </c>
      <c r="M164" s="79">
        <v>20</v>
      </c>
      <c r="N164" s="80"/>
      <c r="O164" s="79">
        <v>343980</v>
      </c>
      <c r="P164" s="79">
        <v>1955510</v>
      </c>
      <c r="Q164" s="79"/>
      <c r="R164" s="79">
        <v>400</v>
      </c>
      <c r="S164" s="78" t="s">
        <v>286</v>
      </c>
    </row>
    <row r="165" spans="11:19" x14ac:dyDescent="0.3">
      <c r="K165" s="78" t="s">
        <v>453</v>
      </c>
      <c r="L165" s="79">
        <v>240</v>
      </c>
      <c r="M165" s="79">
        <v>25</v>
      </c>
      <c r="N165" s="80"/>
      <c r="O165" s="79">
        <v>399898</v>
      </c>
      <c r="P165" s="79">
        <v>2386429</v>
      </c>
      <c r="Q165" s="79"/>
      <c r="R165" s="79">
        <v>400</v>
      </c>
      <c r="S165" s="78" t="s">
        <v>286</v>
      </c>
    </row>
    <row r="166" spans="11:19" x14ac:dyDescent="0.3">
      <c r="K166" s="78" t="s">
        <v>454</v>
      </c>
      <c r="L166" s="79">
        <v>50</v>
      </c>
      <c r="M166" s="79">
        <v>14</v>
      </c>
      <c r="N166" s="80"/>
      <c r="O166" s="79">
        <v>21100</v>
      </c>
      <c r="P166" s="79">
        <v>62300</v>
      </c>
      <c r="Q166" s="79"/>
      <c r="R166" s="79">
        <v>202</v>
      </c>
      <c r="S166" s="78" t="s">
        <v>318</v>
      </c>
    </row>
    <row r="167" spans="11:19" x14ac:dyDescent="0.3">
      <c r="K167" s="78" t="s">
        <v>455</v>
      </c>
      <c r="L167" s="79">
        <v>50</v>
      </c>
      <c r="M167" s="79">
        <v>16</v>
      </c>
      <c r="N167" s="80"/>
      <c r="O167" s="79">
        <v>30600</v>
      </c>
      <c r="P167" s="79">
        <v>81800</v>
      </c>
      <c r="Q167" s="79"/>
      <c r="R167" s="79">
        <v>228</v>
      </c>
      <c r="S167" s="78" t="s">
        <v>318</v>
      </c>
    </row>
    <row r="168" spans="11:19" x14ac:dyDescent="0.3">
      <c r="K168" s="78" t="s">
        <v>456</v>
      </c>
      <c r="L168" s="79">
        <v>50</v>
      </c>
      <c r="M168" s="79">
        <v>40</v>
      </c>
      <c r="N168" s="80"/>
      <c r="O168" s="79">
        <v>19500</v>
      </c>
      <c r="P168" s="79">
        <v>49100</v>
      </c>
      <c r="Q168" s="79"/>
      <c r="R168" s="79">
        <v>159</v>
      </c>
      <c r="S168" s="78" t="s">
        <v>318</v>
      </c>
    </row>
    <row r="169" spans="11:19" x14ac:dyDescent="0.3">
      <c r="K169" s="78" t="s">
        <v>457</v>
      </c>
      <c r="L169" s="79">
        <v>63</v>
      </c>
      <c r="M169" s="79">
        <v>32</v>
      </c>
      <c r="N169" s="80"/>
      <c r="O169" s="79">
        <v>23300</v>
      </c>
      <c r="P169" s="79">
        <v>59000</v>
      </c>
      <c r="Q169" s="79"/>
      <c r="R169" s="79">
        <v>176</v>
      </c>
      <c r="S169" s="78" t="s">
        <v>318</v>
      </c>
    </row>
    <row r="170" spans="11:19" x14ac:dyDescent="0.3">
      <c r="K170" s="78" t="s">
        <v>458</v>
      </c>
      <c r="L170" s="79">
        <v>30</v>
      </c>
      <c r="M170" s="79">
        <v>10</v>
      </c>
      <c r="N170" s="80"/>
      <c r="O170" s="79">
        <v>10306</v>
      </c>
      <c r="P170" s="79">
        <v>17755</v>
      </c>
      <c r="Q170" s="79"/>
      <c r="R170" s="79">
        <v>127</v>
      </c>
      <c r="S170" s="78" t="s">
        <v>318</v>
      </c>
    </row>
    <row r="171" spans="11:19" x14ac:dyDescent="0.3">
      <c r="K171" s="78" t="s">
        <v>459</v>
      </c>
      <c r="L171" s="79">
        <v>39</v>
      </c>
      <c r="M171" s="79">
        <v>10</v>
      </c>
      <c r="N171" s="80"/>
      <c r="O171" s="79">
        <v>9134</v>
      </c>
      <c r="P171" s="79">
        <v>17071</v>
      </c>
      <c r="Q171" s="79"/>
      <c r="R171" s="79">
        <v>152</v>
      </c>
      <c r="S171" s="78" t="s">
        <v>318</v>
      </c>
    </row>
    <row r="172" spans="11:19" x14ac:dyDescent="0.3">
      <c r="K172" s="78" t="s">
        <v>460</v>
      </c>
      <c r="L172" s="79">
        <v>48</v>
      </c>
      <c r="M172" s="79">
        <v>10</v>
      </c>
      <c r="N172" s="80"/>
      <c r="O172" s="79">
        <v>22449</v>
      </c>
      <c r="P172" s="79">
        <v>48469</v>
      </c>
      <c r="Q172" s="79"/>
      <c r="R172" s="79">
        <v>127</v>
      </c>
      <c r="S172" s="78" t="s">
        <v>318</v>
      </c>
    </row>
    <row r="173" spans="11:19" x14ac:dyDescent="0.3">
      <c r="K173" s="78" t="s">
        <v>460</v>
      </c>
      <c r="L173" s="79">
        <v>48</v>
      </c>
      <c r="M173" s="79">
        <v>10</v>
      </c>
      <c r="N173" s="80"/>
      <c r="O173" s="79">
        <v>13858</v>
      </c>
      <c r="P173" s="79">
        <v>29921</v>
      </c>
      <c r="Q173" s="79"/>
      <c r="R173" s="79">
        <v>127</v>
      </c>
      <c r="S173" s="78" t="s">
        <v>318</v>
      </c>
    </row>
    <row r="174" spans="11:19" x14ac:dyDescent="0.3">
      <c r="K174" s="78" t="s">
        <v>461</v>
      </c>
      <c r="L174" s="79">
        <v>60</v>
      </c>
      <c r="M174" s="79">
        <v>10</v>
      </c>
      <c r="N174" s="80"/>
      <c r="O174" s="79">
        <v>32857</v>
      </c>
      <c r="P174" s="79">
        <v>79592</v>
      </c>
      <c r="Q174" s="79"/>
      <c r="R174" s="79">
        <v>152</v>
      </c>
      <c r="S174" s="78" t="s">
        <v>318</v>
      </c>
    </row>
    <row r="175" spans="11:19" x14ac:dyDescent="0.3">
      <c r="K175" s="78" t="s">
        <v>462</v>
      </c>
      <c r="L175" s="79">
        <v>60</v>
      </c>
      <c r="M175" s="79">
        <v>20</v>
      </c>
      <c r="N175" s="80"/>
      <c r="O175" s="79">
        <v>38265</v>
      </c>
      <c r="P175" s="79">
        <v>80204</v>
      </c>
      <c r="Q175" s="79"/>
      <c r="R175" s="79">
        <v>152</v>
      </c>
      <c r="S175" s="78" t="s">
        <v>318</v>
      </c>
    </row>
    <row r="176" spans="11:19" x14ac:dyDescent="0.3">
      <c r="K176" s="78" t="s">
        <v>463</v>
      </c>
      <c r="L176" s="79">
        <v>75</v>
      </c>
      <c r="M176" s="79">
        <v>10</v>
      </c>
      <c r="N176" s="80"/>
      <c r="O176" s="79">
        <v>30236</v>
      </c>
      <c r="P176" s="79">
        <v>93669</v>
      </c>
      <c r="Q176" s="79"/>
      <c r="R176" s="79">
        <v>191</v>
      </c>
      <c r="S176" s="78" t="s">
        <v>318</v>
      </c>
    </row>
    <row r="177" spans="11:19" x14ac:dyDescent="0.3">
      <c r="K177" s="78" t="s">
        <v>464</v>
      </c>
      <c r="L177" s="79">
        <v>75</v>
      </c>
      <c r="M177" s="79">
        <v>20</v>
      </c>
      <c r="N177" s="80"/>
      <c r="O177" s="79">
        <v>55510</v>
      </c>
      <c r="P177" s="79">
        <v>152653</v>
      </c>
      <c r="Q177" s="79"/>
      <c r="R177" s="79">
        <v>191</v>
      </c>
      <c r="S177" s="78" t="s">
        <v>318</v>
      </c>
    </row>
    <row r="178" spans="11:19" x14ac:dyDescent="0.3">
      <c r="K178" s="78" t="s">
        <v>464</v>
      </c>
      <c r="L178" s="79">
        <v>75</v>
      </c>
      <c r="M178" s="79">
        <v>20</v>
      </c>
      <c r="N178" s="80"/>
      <c r="O178" s="79">
        <v>34268</v>
      </c>
      <c r="P178" s="79">
        <v>94236</v>
      </c>
      <c r="Q178" s="79"/>
      <c r="R178" s="79">
        <v>191</v>
      </c>
      <c r="S178" s="78" t="s">
        <v>318</v>
      </c>
    </row>
    <row r="179" spans="11:19" x14ac:dyDescent="0.3">
      <c r="K179" s="78" t="s">
        <v>465</v>
      </c>
      <c r="L179" s="79">
        <v>32</v>
      </c>
      <c r="M179" s="79">
        <v>10</v>
      </c>
      <c r="N179" s="80">
        <v>6</v>
      </c>
      <c r="O179" s="79">
        <v>3963</v>
      </c>
      <c r="P179" s="79">
        <v>9011</v>
      </c>
      <c r="Q179" s="79">
        <v>53</v>
      </c>
      <c r="R179" s="79">
        <v>96</v>
      </c>
      <c r="S179" s="78" t="s">
        <v>320</v>
      </c>
    </row>
    <row r="180" spans="11:19" x14ac:dyDescent="0.3">
      <c r="K180" s="78" t="s">
        <v>466</v>
      </c>
      <c r="L180" s="79">
        <v>32</v>
      </c>
      <c r="M180" s="79">
        <v>20</v>
      </c>
      <c r="N180" s="80">
        <v>6</v>
      </c>
      <c r="O180" s="79">
        <v>2481</v>
      </c>
      <c r="P180" s="79">
        <v>5385</v>
      </c>
      <c r="Q180" s="79">
        <v>29</v>
      </c>
      <c r="R180" s="79">
        <v>100</v>
      </c>
      <c r="S180" s="78" t="s">
        <v>320</v>
      </c>
    </row>
    <row r="181" spans="11:19" x14ac:dyDescent="0.3">
      <c r="K181" s="78" t="s">
        <v>467</v>
      </c>
      <c r="L181" s="79">
        <v>40</v>
      </c>
      <c r="M181" s="79">
        <v>10</v>
      </c>
      <c r="N181" s="80">
        <v>6</v>
      </c>
      <c r="O181" s="79">
        <v>4372</v>
      </c>
      <c r="P181" s="79">
        <v>11264</v>
      </c>
      <c r="Q181" s="79">
        <v>65</v>
      </c>
      <c r="R181" s="79">
        <v>100</v>
      </c>
      <c r="S181" s="78" t="s">
        <v>320</v>
      </c>
    </row>
    <row r="182" spans="11:19" x14ac:dyDescent="0.3">
      <c r="K182" s="78" t="s">
        <v>468</v>
      </c>
      <c r="L182" s="79">
        <v>40</v>
      </c>
      <c r="M182" s="79">
        <v>20</v>
      </c>
      <c r="N182" s="80">
        <v>6</v>
      </c>
      <c r="O182" s="79">
        <v>2723</v>
      </c>
      <c r="P182" s="79">
        <v>6653</v>
      </c>
      <c r="Q182" s="79">
        <v>36</v>
      </c>
      <c r="R182" s="79">
        <v>100</v>
      </c>
      <c r="S182" s="78" t="s">
        <v>320</v>
      </c>
    </row>
    <row r="183" spans="11:19" x14ac:dyDescent="0.3">
      <c r="K183" s="78" t="s">
        <v>469</v>
      </c>
      <c r="L183" s="79">
        <v>50</v>
      </c>
      <c r="M183" s="79">
        <v>10</v>
      </c>
      <c r="N183" s="80">
        <v>5</v>
      </c>
      <c r="O183" s="79">
        <v>7023</v>
      </c>
      <c r="P183" s="79">
        <v>23537</v>
      </c>
      <c r="Q183" s="79">
        <v>106</v>
      </c>
      <c r="R183" s="79">
        <v>93</v>
      </c>
      <c r="S183" s="78" t="s">
        <v>320</v>
      </c>
    </row>
    <row r="184" spans="11:19" x14ac:dyDescent="0.3">
      <c r="K184" s="78" t="s">
        <v>470</v>
      </c>
      <c r="L184" s="79">
        <v>50</v>
      </c>
      <c r="M184" s="79">
        <v>20</v>
      </c>
      <c r="N184" s="80">
        <v>10</v>
      </c>
      <c r="O184" s="79">
        <v>5149</v>
      </c>
      <c r="P184" s="79">
        <v>12118</v>
      </c>
      <c r="Q184" s="79">
        <v>46</v>
      </c>
      <c r="R184" s="79">
        <v>121</v>
      </c>
      <c r="S184" s="78" t="s">
        <v>320</v>
      </c>
    </row>
    <row r="185" spans="11:19" x14ac:dyDescent="0.3">
      <c r="K185" s="78" t="s">
        <v>471</v>
      </c>
      <c r="L185" s="79">
        <v>63</v>
      </c>
      <c r="M185" s="79">
        <v>10</v>
      </c>
      <c r="N185" s="80">
        <v>10</v>
      </c>
      <c r="O185" s="79">
        <v>786</v>
      </c>
      <c r="P185" s="79">
        <v>30430</v>
      </c>
      <c r="Q185" s="79">
        <v>80</v>
      </c>
      <c r="R185" s="79">
        <v>120</v>
      </c>
      <c r="S185" s="78" t="s">
        <v>320</v>
      </c>
    </row>
    <row r="186" spans="11:19" x14ac:dyDescent="0.3">
      <c r="K186" s="78" t="s">
        <v>472</v>
      </c>
      <c r="L186" s="79">
        <v>16</v>
      </c>
      <c r="M186" s="79">
        <v>5</v>
      </c>
      <c r="N186" s="80">
        <v>3</v>
      </c>
      <c r="O186" s="79">
        <v>1510</v>
      </c>
      <c r="P186" s="79">
        <v>1643</v>
      </c>
      <c r="Q186" s="79"/>
      <c r="R186" s="79">
        <v>35</v>
      </c>
      <c r="S186" s="78" t="s">
        <v>318</v>
      </c>
    </row>
    <row r="187" spans="11:19" x14ac:dyDescent="0.3">
      <c r="K187" s="78" t="s">
        <v>473</v>
      </c>
      <c r="L187" s="79">
        <v>20</v>
      </c>
      <c r="M187" s="79">
        <v>10</v>
      </c>
      <c r="N187" s="80">
        <v>3</v>
      </c>
      <c r="O187" s="79">
        <v>1316</v>
      </c>
      <c r="P187" s="79">
        <v>2173</v>
      </c>
      <c r="Q187" s="79"/>
      <c r="R187" s="79">
        <v>60</v>
      </c>
      <c r="S187" s="78" t="s">
        <v>318</v>
      </c>
    </row>
  </sheetData>
  <dataConsolidate/>
  <mergeCells count="1">
    <mergeCell ref="B139:C139"/>
  </mergeCells>
  <phoneticPr fontId="6" type="noConversion"/>
  <conditionalFormatting sqref="B130">
    <cfRule type="cellIs" dxfId="13" priority="4" stopIfTrue="1" operator="greaterThanOrEqual">
      <formula>$B$10</formula>
    </cfRule>
    <cfRule type="cellIs" dxfId="12" priority="5" stopIfTrue="1" operator="lessThan">
      <formula>$B$10</formula>
    </cfRule>
  </conditionalFormatting>
  <conditionalFormatting sqref="B134">
    <cfRule type="cellIs" dxfId="11" priority="6" stopIfTrue="1" operator="lessThan">
      <formula>$B$69</formula>
    </cfRule>
    <cfRule type="cellIs" dxfId="10" priority="7" stopIfTrue="1" operator="greaterThanOrEqual">
      <formula>$B$69</formula>
    </cfRule>
  </conditionalFormatting>
  <conditionalFormatting sqref="D63">
    <cfRule type="cellIs" dxfId="9" priority="8" stopIfTrue="1" operator="lessThanOrEqual">
      <formula>$B$31</formula>
    </cfRule>
    <cfRule type="cellIs" dxfId="8" priority="9" stopIfTrue="1" operator="greaterThan">
      <formula>$B$31</formula>
    </cfRule>
  </conditionalFormatting>
  <conditionalFormatting sqref="B55">
    <cfRule type="cellIs" dxfId="7" priority="12" stopIfTrue="1" operator="greaterThanOrEqual">
      <formula>$H$24</formula>
    </cfRule>
    <cfRule type="cellIs" dxfId="6" priority="13" stopIfTrue="1" operator="lessThan">
      <formula>$F$24+$H$24</formula>
    </cfRule>
  </conditionalFormatting>
  <conditionalFormatting sqref="B56">
    <cfRule type="cellIs" dxfId="5" priority="14" stopIfTrue="1" operator="greaterThanOrEqual">
      <formula>$H$7</formula>
    </cfRule>
    <cfRule type="cellIs" dxfId="4" priority="15" stopIfTrue="1" operator="lessThan">
      <formula>$H$7</formula>
    </cfRule>
  </conditionalFormatting>
  <conditionalFormatting sqref="D62">
    <cfRule type="cellIs" dxfId="3" priority="16" stopIfTrue="1" operator="lessThanOrEqual">
      <formula>2000</formula>
    </cfRule>
    <cfRule type="cellIs" dxfId="2" priority="17" stopIfTrue="1" operator="greaterThan">
      <formula>2000</formula>
    </cfRule>
  </conditionalFormatting>
  <conditionalFormatting sqref="B58">
    <cfRule type="cellIs" dxfId="1" priority="1" stopIfTrue="1" operator="lessThanOrEqual">
      <formula>$B$9</formula>
    </cfRule>
    <cfRule type="cellIs" dxfId="0" priority="2" stopIfTrue="1" operator="greaterThan">
      <formula>$B$9</formula>
    </cfRule>
  </conditionalFormatting>
  <dataValidations count="7">
    <dataValidation type="list" allowBlank="1" showInputMessage="1" showErrorMessage="1" sqref="A125 WVI983164 WLM983164 WBQ983164 VRU983164 VHY983164 UYC983164 UOG983164 UEK983164 TUO983164 TKS983164 TAW983164 SRA983164 SHE983164 RXI983164 RNM983164 RDQ983164 QTU983164 QJY983164 QAC983164 PQG983164 PGK983164 OWO983164 OMS983164 OCW983164 NTA983164 NJE983164 MZI983164 MPM983164 MFQ983164 LVU983164 LLY983164 LCC983164 KSG983164 KIK983164 JYO983164 JOS983164 JEW983164 IVA983164 ILE983164 IBI983164 HRM983164 HHQ983164 GXU983164 GNY983164 GEC983164 FUG983164 FKK983164 FAO983164 EQS983164 EGW983164 DXA983164 DNE983164 DDI983164 CTM983164 CJQ983164 BZU983164 BPY983164 BGC983164 AWG983164 AMK983164 ACO983164 SS983164 IW983164 A983099 WVI917628 WLM917628 WBQ917628 VRU917628 VHY917628 UYC917628 UOG917628 UEK917628 TUO917628 TKS917628 TAW917628 SRA917628 SHE917628 RXI917628 RNM917628 RDQ917628 QTU917628 QJY917628 QAC917628 PQG917628 PGK917628 OWO917628 OMS917628 OCW917628 NTA917628 NJE917628 MZI917628 MPM917628 MFQ917628 LVU917628 LLY917628 LCC917628 KSG917628 KIK917628 JYO917628 JOS917628 JEW917628 IVA917628 ILE917628 IBI917628 HRM917628 HHQ917628 GXU917628 GNY917628 GEC917628 FUG917628 FKK917628 FAO917628 EQS917628 EGW917628 DXA917628 DNE917628 DDI917628 CTM917628 CJQ917628 BZU917628 BPY917628 BGC917628 AWG917628 AMK917628 ACO917628 SS917628 IW917628 A917563 WVI852092 WLM852092 WBQ852092 VRU852092 VHY852092 UYC852092 UOG852092 UEK852092 TUO852092 TKS852092 TAW852092 SRA852092 SHE852092 RXI852092 RNM852092 RDQ852092 QTU852092 QJY852092 QAC852092 PQG852092 PGK852092 OWO852092 OMS852092 OCW852092 NTA852092 NJE852092 MZI852092 MPM852092 MFQ852092 LVU852092 LLY852092 LCC852092 KSG852092 KIK852092 JYO852092 JOS852092 JEW852092 IVA852092 ILE852092 IBI852092 HRM852092 HHQ852092 GXU852092 GNY852092 GEC852092 FUG852092 FKK852092 FAO852092 EQS852092 EGW852092 DXA852092 DNE852092 DDI852092 CTM852092 CJQ852092 BZU852092 BPY852092 BGC852092 AWG852092 AMK852092 ACO852092 SS852092 IW852092 A852027 WVI786556 WLM786556 WBQ786556 VRU786556 VHY786556 UYC786556 UOG786556 UEK786556 TUO786556 TKS786556 TAW786556 SRA786556 SHE786556 RXI786556 RNM786556 RDQ786556 QTU786556 QJY786556 QAC786556 PQG786556 PGK786556 OWO786556 OMS786556 OCW786556 NTA786556 NJE786556 MZI786556 MPM786556 MFQ786556 LVU786556 LLY786556 LCC786556 KSG786556 KIK786556 JYO786556 JOS786556 JEW786556 IVA786556 ILE786556 IBI786556 HRM786556 HHQ786556 GXU786556 GNY786556 GEC786556 FUG786556 FKK786556 FAO786556 EQS786556 EGW786556 DXA786556 DNE786556 DDI786556 CTM786556 CJQ786556 BZU786556 BPY786556 BGC786556 AWG786556 AMK786556 ACO786556 SS786556 IW786556 A786491 WVI721020 WLM721020 WBQ721020 VRU721020 VHY721020 UYC721020 UOG721020 UEK721020 TUO721020 TKS721020 TAW721020 SRA721020 SHE721020 RXI721020 RNM721020 RDQ721020 QTU721020 QJY721020 QAC721020 PQG721020 PGK721020 OWO721020 OMS721020 OCW721020 NTA721020 NJE721020 MZI721020 MPM721020 MFQ721020 LVU721020 LLY721020 LCC721020 KSG721020 KIK721020 JYO721020 JOS721020 JEW721020 IVA721020 ILE721020 IBI721020 HRM721020 HHQ721020 GXU721020 GNY721020 GEC721020 FUG721020 FKK721020 FAO721020 EQS721020 EGW721020 DXA721020 DNE721020 DDI721020 CTM721020 CJQ721020 BZU721020 BPY721020 BGC721020 AWG721020 AMK721020 ACO721020 SS721020 IW721020 A720955 WVI655484 WLM655484 WBQ655484 VRU655484 VHY655484 UYC655484 UOG655484 UEK655484 TUO655484 TKS655484 TAW655484 SRA655484 SHE655484 RXI655484 RNM655484 RDQ655484 QTU655484 QJY655484 QAC655484 PQG655484 PGK655484 OWO655484 OMS655484 OCW655484 NTA655484 NJE655484 MZI655484 MPM655484 MFQ655484 LVU655484 LLY655484 LCC655484 KSG655484 KIK655484 JYO655484 JOS655484 JEW655484 IVA655484 ILE655484 IBI655484 HRM655484 HHQ655484 GXU655484 GNY655484 GEC655484 FUG655484 FKK655484 FAO655484 EQS655484 EGW655484 DXA655484 DNE655484 DDI655484 CTM655484 CJQ655484 BZU655484 BPY655484 BGC655484 AWG655484 AMK655484 ACO655484 SS655484 IW655484 A655419 WVI589948 WLM589948 WBQ589948 VRU589948 VHY589948 UYC589948 UOG589948 UEK589948 TUO589948 TKS589948 TAW589948 SRA589948 SHE589948 RXI589948 RNM589948 RDQ589948 QTU589948 QJY589948 QAC589948 PQG589948 PGK589948 OWO589948 OMS589948 OCW589948 NTA589948 NJE589948 MZI589948 MPM589948 MFQ589948 LVU589948 LLY589948 LCC589948 KSG589948 KIK589948 JYO589948 JOS589948 JEW589948 IVA589948 ILE589948 IBI589948 HRM589948 HHQ589948 GXU589948 GNY589948 GEC589948 FUG589948 FKK589948 FAO589948 EQS589948 EGW589948 DXA589948 DNE589948 DDI589948 CTM589948 CJQ589948 BZU589948 BPY589948 BGC589948 AWG589948 AMK589948 ACO589948 SS589948 IW589948 A589883 WVI524412 WLM524412 WBQ524412 VRU524412 VHY524412 UYC524412 UOG524412 UEK524412 TUO524412 TKS524412 TAW524412 SRA524412 SHE524412 RXI524412 RNM524412 RDQ524412 QTU524412 QJY524412 QAC524412 PQG524412 PGK524412 OWO524412 OMS524412 OCW524412 NTA524412 NJE524412 MZI524412 MPM524412 MFQ524412 LVU524412 LLY524412 LCC524412 KSG524412 KIK524412 JYO524412 JOS524412 JEW524412 IVA524412 ILE524412 IBI524412 HRM524412 HHQ524412 GXU524412 GNY524412 GEC524412 FUG524412 FKK524412 FAO524412 EQS524412 EGW524412 DXA524412 DNE524412 DDI524412 CTM524412 CJQ524412 BZU524412 BPY524412 BGC524412 AWG524412 AMK524412 ACO524412 SS524412 IW524412 A524347 WVI458876 WLM458876 WBQ458876 VRU458876 VHY458876 UYC458876 UOG458876 UEK458876 TUO458876 TKS458876 TAW458876 SRA458876 SHE458876 RXI458876 RNM458876 RDQ458876 QTU458876 QJY458876 QAC458876 PQG458876 PGK458876 OWO458876 OMS458876 OCW458876 NTA458876 NJE458876 MZI458876 MPM458876 MFQ458876 LVU458876 LLY458876 LCC458876 KSG458876 KIK458876 JYO458876 JOS458876 JEW458876 IVA458876 ILE458876 IBI458876 HRM458876 HHQ458876 GXU458876 GNY458876 GEC458876 FUG458876 FKK458876 FAO458876 EQS458876 EGW458876 DXA458876 DNE458876 DDI458876 CTM458876 CJQ458876 BZU458876 BPY458876 BGC458876 AWG458876 AMK458876 ACO458876 SS458876 IW458876 A458811 WVI393340 WLM393340 WBQ393340 VRU393340 VHY393340 UYC393340 UOG393340 UEK393340 TUO393340 TKS393340 TAW393340 SRA393340 SHE393340 RXI393340 RNM393340 RDQ393340 QTU393340 QJY393340 QAC393340 PQG393340 PGK393340 OWO393340 OMS393340 OCW393340 NTA393340 NJE393340 MZI393340 MPM393340 MFQ393340 LVU393340 LLY393340 LCC393340 KSG393340 KIK393340 JYO393340 JOS393340 JEW393340 IVA393340 ILE393340 IBI393340 HRM393340 HHQ393340 GXU393340 GNY393340 GEC393340 FUG393340 FKK393340 FAO393340 EQS393340 EGW393340 DXA393340 DNE393340 DDI393340 CTM393340 CJQ393340 BZU393340 BPY393340 BGC393340 AWG393340 AMK393340 ACO393340 SS393340 IW393340 A393275 WVI327804 WLM327804 WBQ327804 VRU327804 VHY327804 UYC327804 UOG327804 UEK327804 TUO327804 TKS327804 TAW327804 SRA327804 SHE327804 RXI327804 RNM327804 RDQ327804 QTU327804 QJY327804 QAC327804 PQG327804 PGK327804 OWO327804 OMS327804 OCW327804 NTA327804 NJE327804 MZI327804 MPM327804 MFQ327804 LVU327804 LLY327804 LCC327804 KSG327804 KIK327804 JYO327804 JOS327804 JEW327804 IVA327804 ILE327804 IBI327804 HRM327804 HHQ327804 GXU327804 GNY327804 GEC327804 FUG327804 FKK327804 FAO327804 EQS327804 EGW327804 DXA327804 DNE327804 DDI327804 CTM327804 CJQ327804 BZU327804 BPY327804 BGC327804 AWG327804 AMK327804 ACO327804 SS327804 IW327804 A327739 WVI262268 WLM262268 WBQ262268 VRU262268 VHY262268 UYC262268 UOG262268 UEK262268 TUO262268 TKS262268 TAW262268 SRA262268 SHE262268 RXI262268 RNM262268 RDQ262268 QTU262268 QJY262268 QAC262268 PQG262268 PGK262268 OWO262268 OMS262268 OCW262268 NTA262268 NJE262268 MZI262268 MPM262268 MFQ262268 LVU262268 LLY262268 LCC262268 KSG262268 KIK262268 JYO262268 JOS262268 JEW262268 IVA262268 ILE262268 IBI262268 HRM262268 HHQ262268 GXU262268 GNY262268 GEC262268 FUG262268 FKK262268 FAO262268 EQS262268 EGW262268 DXA262268 DNE262268 DDI262268 CTM262268 CJQ262268 BZU262268 BPY262268 BGC262268 AWG262268 AMK262268 ACO262268 SS262268 IW262268 A262203 WVI196732 WLM196732 WBQ196732 VRU196732 VHY196732 UYC196732 UOG196732 UEK196732 TUO196732 TKS196732 TAW196732 SRA196732 SHE196732 RXI196732 RNM196732 RDQ196732 QTU196732 QJY196732 QAC196732 PQG196732 PGK196732 OWO196732 OMS196732 OCW196732 NTA196732 NJE196732 MZI196732 MPM196732 MFQ196732 LVU196732 LLY196732 LCC196732 KSG196732 KIK196732 JYO196732 JOS196732 JEW196732 IVA196732 ILE196732 IBI196732 HRM196732 HHQ196732 GXU196732 GNY196732 GEC196732 FUG196732 FKK196732 FAO196732 EQS196732 EGW196732 DXA196732 DNE196732 DDI196732 CTM196732 CJQ196732 BZU196732 BPY196732 BGC196732 AWG196732 AMK196732 ACO196732 SS196732 IW196732 A196667 WVI131196 WLM131196 WBQ131196 VRU131196 VHY131196 UYC131196 UOG131196 UEK131196 TUO131196 TKS131196 TAW131196 SRA131196 SHE131196 RXI131196 RNM131196 RDQ131196 QTU131196 QJY131196 QAC131196 PQG131196 PGK131196 OWO131196 OMS131196 OCW131196 NTA131196 NJE131196 MZI131196 MPM131196 MFQ131196 LVU131196 LLY131196 LCC131196 KSG131196 KIK131196 JYO131196 JOS131196 JEW131196 IVA131196 ILE131196 IBI131196 HRM131196 HHQ131196 GXU131196 GNY131196 GEC131196 FUG131196 FKK131196 FAO131196 EQS131196 EGW131196 DXA131196 DNE131196 DDI131196 CTM131196 CJQ131196 BZU131196 BPY131196 BGC131196 AWG131196 AMK131196 ACO131196 SS131196 IW131196 A131131 WVI65660 WLM65660 WBQ65660 VRU65660 VHY65660 UYC65660 UOG65660 UEK65660 TUO65660 TKS65660 TAW65660 SRA65660 SHE65660 RXI65660 RNM65660 RDQ65660 QTU65660 QJY65660 QAC65660 PQG65660 PGK65660 OWO65660 OMS65660 OCW65660 NTA65660 NJE65660 MZI65660 MPM65660 MFQ65660 LVU65660 LLY65660 LCC65660 KSG65660 KIK65660 JYO65660 JOS65660 JEW65660 IVA65660 ILE65660 IBI65660 HRM65660 HHQ65660 GXU65660 GNY65660 GEC65660 FUG65660 FKK65660 FAO65660 EQS65660 EGW65660 DXA65660 DNE65660 DDI65660 CTM65660 CJQ65660 BZU65660 BPY65660 BGC65660 AWG65660 AMK65660 ACO65660 SS65660 IW65660 A65595 WVI125 WLM125 WBQ125 VRU125 VHY125 UYC125 UOG125 UEK125 TUO125 TKS125 TAW125 SRA125 SHE125 RXI125 RNM125 RDQ125 QTU125 QJY125 QAC125 PQG125 PGK125 OWO125 OMS125 OCW125 NTA125 NJE125 MZI125 MPM125 MFQ125 LVU125 LLY125 LCC125 KSG125 KIK125 JYO125 JOS125 JEW125 IVA125 ILE125 IBI125 HRM125 HHQ125 GXU125 GNY125 GEC125 FUG125 FKK125 FAO125 EQS125 EGW125 DXA125 DNE125 DDI125 CTM125 CJQ125 BZU125 BPY125 BGC125 AWG125 AMK125 ACO125 SS125 IW125" xr:uid="{E1868226-59E4-4C39-8987-10D2FA2F32A5}">
      <formula1>$A$126:$A$128</formula1>
    </dataValidation>
    <dataValidation type="list" allowBlank="1" showInputMessage="1" showErrorMessage="1" sqref="A108 WVI983132 WLM983132 WBQ983132 VRU983132 VHY983132 UYC983132 UOG983132 UEK983132 TUO983132 TKS983132 TAW983132 SRA983132 SHE983132 RXI983132 RNM983132 RDQ983132 QTU983132 QJY983132 QAC983132 PQG983132 PGK983132 OWO983132 OMS983132 OCW983132 NTA983132 NJE983132 MZI983132 MPM983132 MFQ983132 LVU983132 LLY983132 LCC983132 KSG983132 KIK983132 JYO983132 JOS983132 JEW983132 IVA983132 ILE983132 IBI983132 HRM983132 HHQ983132 GXU983132 GNY983132 GEC983132 FUG983132 FKK983132 FAO983132 EQS983132 EGW983132 DXA983132 DNE983132 DDI983132 CTM983132 CJQ983132 BZU983132 BPY983132 BGC983132 AWG983132 AMK983132 ACO983132 SS983132 IW983132 A983067 WVI917596 WLM917596 WBQ917596 VRU917596 VHY917596 UYC917596 UOG917596 UEK917596 TUO917596 TKS917596 TAW917596 SRA917596 SHE917596 RXI917596 RNM917596 RDQ917596 QTU917596 QJY917596 QAC917596 PQG917596 PGK917596 OWO917596 OMS917596 OCW917596 NTA917596 NJE917596 MZI917596 MPM917596 MFQ917596 LVU917596 LLY917596 LCC917596 KSG917596 KIK917596 JYO917596 JOS917596 JEW917596 IVA917596 ILE917596 IBI917596 HRM917596 HHQ917596 GXU917596 GNY917596 GEC917596 FUG917596 FKK917596 FAO917596 EQS917596 EGW917596 DXA917596 DNE917596 DDI917596 CTM917596 CJQ917596 BZU917596 BPY917596 BGC917596 AWG917596 AMK917596 ACO917596 SS917596 IW917596 A917531 WVI852060 WLM852060 WBQ852060 VRU852060 VHY852060 UYC852060 UOG852060 UEK852060 TUO852060 TKS852060 TAW852060 SRA852060 SHE852060 RXI852060 RNM852060 RDQ852060 QTU852060 QJY852060 QAC852060 PQG852060 PGK852060 OWO852060 OMS852060 OCW852060 NTA852060 NJE852060 MZI852060 MPM852060 MFQ852060 LVU852060 LLY852060 LCC852060 KSG852060 KIK852060 JYO852060 JOS852060 JEW852060 IVA852060 ILE852060 IBI852060 HRM852060 HHQ852060 GXU852060 GNY852060 GEC852060 FUG852060 FKK852060 FAO852060 EQS852060 EGW852060 DXA852060 DNE852060 DDI852060 CTM852060 CJQ852060 BZU852060 BPY852060 BGC852060 AWG852060 AMK852060 ACO852060 SS852060 IW852060 A851995 WVI786524 WLM786524 WBQ786524 VRU786524 VHY786524 UYC786524 UOG786524 UEK786524 TUO786524 TKS786524 TAW786524 SRA786524 SHE786524 RXI786524 RNM786524 RDQ786524 QTU786524 QJY786524 QAC786524 PQG786524 PGK786524 OWO786524 OMS786524 OCW786524 NTA786524 NJE786524 MZI786524 MPM786524 MFQ786524 LVU786524 LLY786524 LCC786524 KSG786524 KIK786524 JYO786524 JOS786524 JEW786524 IVA786524 ILE786524 IBI786524 HRM786524 HHQ786524 GXU786524 GNY786524 GEC786524 FUG786524 FKK786524 FAO786524 EQS786524 EGW786524 DXA786524 DNE786524 DDI786524 CTM786524 CJQ786524 BZU786524 BPY786524 BGC786524 AWG786524 AMK786524 ACO786524 SS786524 IW786524 A786459 WVI720988 WLM720988 WBQ720988 VRU720988 VHY720988 UYC720988 UOG720988 UEK720988 TUO720988 TKS720988 TAW720988 SRA720988 SHE720988 RXI720988 RNM720988 RDQ720988 QTU720988 QJY720988 QAC720988 PQG720988 PGK720988 OWO720988 OMS720988 OCW720988 NTA720988 NJE720988 MZI720988 MPM720988 MFQ720988 LVU720988 LLY720988 LCC720988 KSG720988 KIK720988 JYO720988 JOS720988 JEW720988 IVA720988 ILE720988 IBI720988 HRM720988 HHQ720988 GXU720988 GNY720988 GEC720988 FUG720988 FKK720988 FAO720988 EQS720988 EGW720988 DXA720988 DNE720988 DDI720988 CTM720988 CJQ720988 BZU720988 BPY720988 BGC720988 AWG720988 AMK720988 ACO720988 SS720988 IW720988 A720923 WVI655452 WLM655452 WBQ655452 VRU655452 VHY655452 UYC655452 UOG655452 UEK655452 TUO655452 TKS655452 TAW655452 SRA655452 SHE655452 RXI655452 RNM655452 RDQ655452 QTU655452 QJY655452 QAC655452 PQG655452 PGK655452 OWO655452 OMS655452 OCW655452 NTA655452 NJE655452 MZI655452 MPM655452 MFQ655452 LVU655452 LLY655452 LCC655452 KSG655452 KIK655452 JYO655452 JOS655452 JEW655452 IVA655452 ILE655452 IBI655452 HRM655452 HHQ655452 GXU655452 GNY655452 GEC655452 FUG655452 FKK655452 FAO655452 EQS655452 EGW655452 DXA655452 DNE655452 DDI655452 CTM655452 CJQ655452 BZU655452 BPY655452 BGC655452 AWG655452 AMK655452 ACO655452 SS655452 IW655452 A655387 WVI589916 WLM589916 WBQ589916 VRU589916 VHY589916 UYC589916 UOG589916 UEK589916 TUO589916 TKS589916 TAW589916 SRA589916 SHE589916 RXI589916 RNM589916 RDQ589916 QTU589916 QJY589916 QAC589916 PQG589916 PGK589916 OWO589916 OMS589916 OCW589916 NTA589916 NJE589916 MZI589916 MPM589916 MFQ589916 LVU589916 LLY589916 LCC589916 KSG589916 KIK589916 JYO589916 JOS589916 JEW589916 IVA589916 ILE589916 IBI589916 HRM589916 HHQ589916 GXU589916 GNY589916 GEC589916 FUG589916 FKK589916 FAO589916 EQS589916 EGW589916 DXA589916 DNE589916 DDI589916 CTM589916 CJQ589916 BZU589916 BPY589916 BGC589916 AWG589916 AMK589916 ACO589916 SS589916 IW589916 A589851 WVI524380 WLM524380 WBQ524380 VRU524380 VHY524380 UYC524380 UOG524380 UEK524380 TUO524380 TKS524380 TAW524380 SRA524380 SHE524380 RXI524380 RNM524380 RDQ524380 QTU524380 QJY524380 QAC524380 PQG524380 PGK524380 OWO524380 OMS524380 OCW524380 NTA524380 NJE524380 MZI524380 MPM524380 MFQ524380 LVU524380 LLY524380 LCC524380 KSG524380 KIK524380 JYO524380 JOS524380 JEW524380 IVA524380 ILE524380 IBI524380 HRM524380 HHQ524380 GXU524380 GNY524380 GEC524380 FUG524380 FKK524380 FAO524380 EQS524380 EGW524380 DXA524380 DNE524380 DDI524380 CTM524380 CJQ524380 BZU524380 BPY524380 BGC524380 AWG524380 AMK524380 ACO524380 SS524380 IW524380 A524315 WVI458844 WLM458844 WBQ458844 VRU458844 VHY458844 UYC458844 UOG458844 UEK458844 TUO458844 TKS458844 TAW458844 SRA458844 SHE458844 RXI458844 RNM458844 RDQ458844 QTU458844 QJY458844 QAC458844 PQG458844 PGK458844 OWO458844 OMS458844 OCW458844 NTA458844 NJE458844 MZI458844 MPM458844 MFQ458844 LVU458844 LLY458844 LCC458844 KSG458844 KIK458844 JYO458844 JOS458844 JEW458844 IVA458844 ILE458844 IBI458844 HRM458844 HHQ458844 GXU458844 GNY458844 GEC458844 FUG458844 FKK458844 FAO458844 EQS458844 EGW458844 DXA458844 DNE458844 DDI458844 CTM458844 CJQ458844 BZU458844 BPY458844 BGC458844 AWG458844 AMK458844 ACO458844 SS458844 IW458844 A458779 WVI393308 WLM393308 WBQ393308 VRU393308 VHY393308 UYC393308 UOG393308 UEK393308 TUO393308 TKS393308 TAW393308 SRA393308 SHE393308 RXI393308 RNM393308 RDQ393308 QTU393308 QJY393308 QAC393308 PQG393308 PGK393308 OWO393308 OMS393308 OCW393308 NTA393308 NJE393308 MZI393308 MPM393308 MFQ393308 LVU393308 LLY393308 LCC393308 KSG393308 KIK393308 JYO393308 JOS393308 JEW393308 IVA393308 ILE393308 IBI393308 HRM393308 HHQ393308 GXU393308 GNY393308 GEC393308 FUG393308 FKK393308 FAO393308 EQS393308 EGW393308 DXA393308 DNE393308 DDI393308 CTM393308 CJQ393308 BZU393308 BPY393308 BGC393308 AWG393308 AMK393308 ACO393308 SS393308 IW393308 A393243 WVI327772 WLM327772 WBQ327772 VRU327772 VHY327772 UYC327772 UOG327772 UEK327772 TUO327772 TKS327772 TAW327772 SRA327772 SHE327772 RXI327772 RNM327772 RDQ327772 QTU327772 QJY327772 QAC327772 PQG327772 PGK327772 OWO327772 OMS327772 OCW327772 NTA327772 NJE327772 MZI327772 MPM327772 MFQ327772 LVU327772 LLY327772 LCC327772 KSG327772 KIK327772 JYO327772 JOS327772 JEW327772 IVA327772 ILE327772 IBI327772 HRM327772 HHQ327772 GXU327772 GNY327772 GEC327772 FUG327772 FKK327772 FAO327772 EQS327772 EGW327772 DXA327772 DNE327772 DDI327772 CTM327772 CJQ327772 BZU327772 BPY327772 BGC327772 AWG327772 AMK327772 ACO327772 SS327772 IW327772 A327707 WVI262236 WLM262236 WBQ262236 VRU262236 VHY262236 UYC262236 UOG262236 UEK262236 TUO262236 TKS262236 TAW262236 SRA262236 SHE262236 RXI262236 RNM262236 RDQ262236 QTU262236 QJY262236 QAC262236 PQG262236 PGK262236 OWO262236 OMS262236 OCW262236 NTA262236 NJE262236 MZI262236 MPM262236 MFQ262236 LVU262236 LLY262236 LCC262236 KSG262236 KIK262236 JYO262236 JOS262236 JEW262236 IVA262236 ILE262236 IBI262236 HRM262236 HHQ262236 GXU262236 GNY262236 GEC262236 FUG262236 FKK262236 FAO262236 EQS262236 EGW262236 DXA262236 DNE262236 DDI262236 CTM262236 CJQ262236 BZU262236 BPY262236 BGC262236 AWG262236 AMK262236 ACO262236 SS262236 IW262236 A262171 WVI196700 WLM196700 WBQ196700 VRU196700 VHY196700 UYC196700 UOG196700 UEK196700 TUO196700 TKS196700 TAW196700 SRA196700 SHE196700 RXI196700 RNM196700 RDQ196700 QTU196700 QJY196700 QAC196700 PQG196700 PGK196700 OWO196700 OMS196700 OCW196700 NTA196700 NJE196700 MZI196700 MPM196700 MFQ196700 LVU196700 LLY196700 LCC196700 KSG196700 KIK196700 JYO196700 JOS196700 JEW196700 IVA196700 ILE196700 IBI196700 HRM196700 HHQ196700 GXU196700 GNY196700 GEC196700 FUG196700 FKK196700 FAO196700 EQS196700 EGW196700 DXA196700 DNE196700 DDI196700 CTM196700 CJQ196700 BZU196700 BPY196700 BGC196700 AWG196700 AMK196700 ACO196700 SS196700 IW196700 A196635 WVI131164 WLM131164 WBQ131164 VRU131164 VHY131164 UYC131164 UOG131164 UEK131164 TUO131164 TKS131164 TAW131164 SRA131164 SHE131164 RXI131164 RNM131164 RDQ131164 QTU131164 QJY131164 QAC131164 PQG131164 PGK131164 OWO131164 OMS131164 OCW131164 NTA131164 NJE131164 MZI131164 MPM131164 MFQ131164 LVU131164 LLY131164 LCC131164 KSG131164 KIK131164 JYO131164 JOS131164 JEW131164 IVA131164 ILE131164 IBI131164 HRM131164 HHQ131164 GXU131164 GNY131164 GEC131164 FUG131164 FKK131164 FAO131164 EQS131164 EGW131164 DXA131164 DNE131164 DDI131164 CTM131164 CJQ131164 BZU131164 BPY131164 BGC131164 AWG131164 AMK131164 ACO131164 SS131164 IW131164 A131099 WVI65628 WLM65628 WBQ65628 VRU65628 VHY65628 UYC65628 UOG65628 UEK65628 TUO65628 TKS65628 TAW65628 SRA65628 SHE65628 RXI65628 RNM65628 RDQ65628 QTU65628 QJY65628 QAC65628 PQG65628 PGK65628 OWO65628 OMS65628 OCW65628 NTA65628 NJE65628 MZI65628 MPM65628 MFQ65628 LVU65628 LLY65628 LCC65628 KSG65628 KIK65628 JYO65628 JOS65628 JEW65628 IVA65628 ILE65628 IBI65628 HRM65628 HHQ65628 GXU65628 GNY65628 GEC65628 FUG65628 FKK65628 FAO65628 EQS65628 EGW65628 DXA65628 DNE65628 DDI65628 CTM65628 CJQ65628 BZU65628 BPY65628 BGC65628 AWG65628 AMK65628 ACO65628 SS65628 IW65628 A65563 WVI93 WLM93 WBQ93 VRU93 VHY93 UYC93 UOG93 UEK93 TUO93 TKS93 TAW93 SRA93 SHE93 RXI93 RNM93 RDQ93 QTU93 QJY93 QAC93 PQG93 PGK93 OWO93 OMS93 OCW93 NTA93 NJE93 MZI93 MPM93 MFQ93 LVU93 LLY93 LCC93 KSG93 KIK93 JYO93 JOS93 JEW93 IVA93 ILE93 IBI93 HRM93 HHQ93 GXU93 GNY93 GEC93 FUG93 FKK93 FAO93 EQS93 EGW93 DXA93 DNE93 DDI93 CTM93 CJQ93 BZU93 BPY93 BGC93 AWG93 AMK93 ACO93 SS93 IW93 A93 WVI983147 WLM983147 WBQ983147 VRU983147 VHY983147 UYC983147 UOG983147 UEK983147 TUO983147 TKS983147 TAW983147 SRA983147 SHE983147 RXI983147 RNM983147 RDQ983147 QTU983147 QJY983147 QAC983147 PQG983147 PGK983147 OWO983147 OMS983147 OCW983147 NTA983147 NJE983147 MZI983147 MPM983147 MFQ983147 LVU983147 LLY983147 LCC983147 KSG983147 KIK983147 JYO983147 JOS983147 JEW983147 IVA983147 ILE983147 IBI983147 HRM983147 HHQ983147 GXU983147 GNY983147 GEC983147 FUG983147 FKK983147 FAO983147 EQS983147 EGW983147 DXA983147 DNE983147 DDI983147 CTM983147 CJQ983147 BZU983147 BPY983147 BGC983147 AWG983147 AMK983147 ACO983147 SS983147 IW983147 A983082 WVI917611 WLM917611 WBQ917611 VRU917611 VHY917611 UYC917611 UOG917611 UEK917611 TUO917611 TKS917611 TAW917611 SRA917611 SHE917611 RXI917611 RNM917611 RDQ917611 QTU917611 QJY917611 QAC917611 PQG917611 PGK917611 OWO917611 OMS917611 OCW917611 NTA917611 NJE917611 MZI917611 MPM917611 MFQ917611 LVU917611 LLY917611 LCC917611 KSG917611 KIK917611 JYO917611 JOS917611 JEW917611 IVA917611 ILE917611 IBI917611 HRM917611 HHQ917611 GXU917611 GNY917611 GEC917611 FUG917611 FKK917611 FAO917611 EQS917611 EGW917611 DXA917611 DNE917611 DDI917611 CTM917611 CJQ917611 BZU917611 BPY917611 BGC917611 AWG917611 AMK917611 ACO917611 SS917611 IW917611 A917546 WVI852075 WLM852075 WBQ852075 VRU852075 VHY852075 UYC852075 UOG852075 UEK852075 TUO852075 TKS852075 TAW852075 SRA852075 SHE852075 RXI852075 RNM852075 RDQ852075 QTU852075 QJY852075 QAC852075 PQG852075 PGK852075 OWO852075 OMS852075 OCW852075 NTA852075 NJE852075 MZI852075 MPM852075 MFQ852075 LVU852075 LLY852075 LCC852075 KSG852075 KIK852075 JYO852075 JOS852075 JEW852075 IVA852075 ILE852075 IBI852075 HRM852075 HHQ852075 GXU852075 GNY852075 GEC852075 FUG852075 FKK852075 FAO852075 EQS852075 EGW852075 DXA852075 DNE852075 DDI852075 CTM852075 CJQ852075 BZU852075 BPY852075 BGC852075 AWG852075 AMK852075 ACO852075 SS852075 IW852075 A852010 WVI786539 WLM786539 WBQ786539 VRU786539 VHY786539 UYC786539 UOG786539 UEK786539 TUO786539 TKS786539 TAW786539 SRA786539 SHE786539 RXI786539 RNM786539 RDQ786539 QTU786539 QJY786539 QAC786539 PQG786539 PGK786539 OWO786539 OMS786539 OCW786539 NTA786539 NJE786539 MZI786539 MPM786539 MFQ786539 LVU786539 LLY786539 LCC786539 KSG786539 KIK786539 JYO786539 JOS786539 JEW786539 IVA786539 ILE786539 IBI786539 HRM786539 HHQ786539 GXU786539 GNY786539 GEC786539 FUG786539 FKK786539 FAO786539 EQS786539 EGW786539 DXA786539 DNE786539 DDI786539 CTM786539 CJQ786539 BZU786539 BPY786539 BGC786539 AWG786539 AMK786539 ACO786539 SS786539 IW786539 A786474 WVI721003 WLM721003 WBQ721003 VRU721003 VHY721003 UYC721003 UOG721003 UEK721003 TUO721003 TKS721003 TAW721003 SRA721003 SHE721003 RXI721003 RNM721003 RDQ721003 QTU721003 QJY721003 QAC721003 PQG721003 PGK721003 OWO721003 OMS721003 OCW721003 NTA721003 NJE721003 MZI721003 MPM721003 MFQ721003 LVU721003 LLY721003 LCC721003 KSG721003 KIK721003 JYO721003 JOS721003 JEW721003 IVA721003 ILE721003 IBI721003 HRM721003 HHQ721003 GXU721003 GNY721003 GEC721003 FUG721003 FKK721003 FAO721003 EQS721003 EGW721003 DXA721003 DNE721003 DDI721003 CTM721003 CJQ721003 BZU721003 BPY721003 BGC721003 AWG721003 AMK721003 ACO721003 SS721003 IW721003 A720938 WVI655467 WLM655467 WBQ655467 VRU655467 VHY655467 UYC655467 UOG655467 UEK655467 TUO655467 TKS655467 TAW655467 SRA655467 SHE655467 RXI655467 RNM655467 RDQ655467 QTU655467 QJY655467 QAC655467 PQG655467 PGK655467 OWO655467 OMS655467 OCW655467 NTA655467 NJE655467 MZI655467 MPM655467 MFQ655467 LVU655467 LLY655467 LCC655467 KSG655467 KIK655467 JYO655467 JOS655467 JEW655467 IVA655467 ILE655467 IBI655467 HRM655467 HHQ655467 GXU655467 GNY655467 GEC655467 FUG655467 FKK655467 FAO655467 EQS655467 EGW655467 DXA655467 DNE655467 DDI655467 CTM655467 CJQ655467 BZU655467 BPY655467 BGC655467 AWG655467 AMK655467 ACO655467 SS655467 IW655467 A655402 WVI589931 WLM589931 WBQ589931 VRU589931 VHY589931 UYC589931 UOG589931 UEK589931 TUO589931 TKS589931 TAW589931 SRA589931 SHE589931 RXI589931 RNM589931 RDQ589931 QTU589931 QJY589931 QAC589931 PQG589931 PGK589931 OWO589931 OMS589931 OCW589931 NTA589931 NJE589931 MZI589931 MPM589931 MFQ589931 LVU589931 LLY589931 LCC589931 KSG589931 KIK589931 JYO589931 JOS589931 JEW589931 IVA589931 ILE589931 IBI589931 HRM589931 HHQ589931 GXU589931 GNY589931 GEC589931 FUG589931 FKK589931 FAO589931 EQS589931 EGW589931 DXA589931 DNE589931 DDI589931 CTM589931 CJQ589931 BZU589931 BPY589931 BGC589931 AWG589931 AMK589931 ACO589931 SS589931 IW589931 A589866 WVI524395 WLM524395 WBQ524395 VRU524395 VHY524395 UYC524395 UOG524395 UEK524395 TUO524395 TKS524395 TAW524395 SRA524395 SHE524395 RXI524395 RNM524395 RDQ524395 QTU524395 QJY524395 QAC524395 PQG524395 PGK524395 OWO524395 OMS524395 OCW524395 NTA524395 NJE524395 MZI524395 MPM524395 MFQ524395 LVU524395 LLY524395 LCC524395 KSG524395 KIK524395 JYO524395 JOS524395 JEW524395 IVA524395 ILE524395 IBI524395 HRM524395 HHQ524395 GXU524395 GNY524395 GEC524395 FUG524395 FKK524395 FAO524395 EQS524395 EGW524395 DXA524395 DNE524395 DDI524395 CTM524395 CJQ524395 BZU524395 BPY524395 BGC524395 AWG524395 AMK524395 ACO524395 SS524395 IW524395 A524330 WVI458859 WLM458859 WBQ458859 VRU458859 VHY458859 UYC458859 UOG458859 UEK458859 TUO458859 TKS458859 TAW458859 SRA458859 SHE458859 RXI458859 RNM458859 RDQ458859 QTU458859 QJY458859 QAC458859 PQG458859 PGK458859 OWO458859 OMS458859 OCW458859 NTA458859 NJE458859 MZI458859 MPM458859 MFQ458859 LVU458859 LLY458859 LCC458859 KSG458859 KIK458859 JYO458859 JOS458859 JEW458859 IVA458859 ILE458859 IBI458859 HRM458859 HHQ458859 GXU458859 GNY458859 GEC458859 FUG458859 FKK458859 FAO458859 EQS458859 EGW458859 DXA458859 DNE458859 DDI458859 CTM458859 CJQ458859 BZU458859 BPY458859 BGC458859 AWG458859 AMK458859 ACO458859 SS458859 IW458859 A458794 WVI393323 WLM393323 WBQ393323 VRU393323 VHY393323 UYC393323 UOG393323 UEK393323 TUO393323 TKS393323 TAW393323 SRA393323 SHE393323 RXI393323 RNM393323 RDQ393323 QTU393323 QJY393323 QAC393323 PQG393323 PGK393323 OWO393323 OMS393323 OCW393323 NTA393323 NJE393323 MZI393323 MPM393323 MFQ393323 LVU393323 LLY393323 LCC393323 KSG393323 KIK393323 JYO393323 JOS393323 JEW393323 IVA393323 ILE393323 IBI393323 HRM393323 HHQ393323 GXU393323 GNY393323 GEC393323 FUG393323 FKK393323 FAO393323 EQS393323 EGW393323 DXA393323 DNE393323 DDI393323 CTM393323 CJQ393323 BZU393323 BPY393323 BGC393323 AWG393323 AMK393323 ACO393323 SS393323 IW393323 A393258 WVI327787 WLM327787 WBQ327787 VRU327787 VHY327787 UYC327787 UOG327787 UEK327787 TUO327787 TKS327787 TAW327787 SRA327787 SHE327787 RXI327787 RNM327787 RDQ327787 QTU327787 QJY327787 QAC327787 PQG327787 PGK327787 OWO327787 OMS327787 OCW327787 NTA327787 NJE327787 MZI327787 MPM327787 MFQ327787 LVU327787 LLY327787 LCC327787 KSG327787 KIK327787 JYO327787 JOS327787 JEW327787 IVA327787 ILE327787 IBI327787 HRM327787 HHQ327787 GXU327787 GNY327787 GEC327787 FUG327787 FKK327787 FAO327787 EQS327787 EGW327787 DXA327787 DNE327787 DDI327787 CTM327787 CJQ327787 BZU327787 BPY327787 BGC327787 AWG327787 AMK327787 ACO327787 SS327787 IW327787 A327722 WVI262251 WLM262251 WBQ262251 VRU262251 VHY262251 UYC262251 UOG262251 UEK262251 TUO262251 TKS262251 TAW262251 SRA262251 SHE262251 RXI262251 RNM262251 RDQ262251 QTU262251 QJY262251 QAC262251 PQG262251 PGK262251 OWO262251 OMS262251 OCW262251 NTA262251 NJE262251 MZI262251 MPM262251 MFQ262251 LVU262251 LLY262251 LCC262251 KSG262251 KIK262251 JYO262251 JOS262251 JEW262251 IVA262251 ILE262251 IBI262251 HRM262251 HHQ262251 GXU262251 GNY262251 GEC262251 FUG262251 FKK262251 FAO262251 EQS262251 EGW262251 DXA262251 DNE262251 DDI262251 CTM262251 CJQ262251 BZU262251 BPY262251 BGC262251 AWG262251 AMK262251 ACO262251 SS262251 IW262251 A262186 WVI196715 WLM196715 WBQ196715 VRU196715 VHY196715 UYC196715 UOG196715 UEK196715 TUO196715 TKS196715 TAW196715 SRA196715 SHE196715 RXI196715 RNM196715 RDQ196715 QTU196715 QJY196715 QAC196715 PQG196715 PGK196715 OWO196715 OMS196715 OCW196715 NTA196715 NJE196715 MZI196715 MPM196715 MFQ196715 LVU196715 LLY196715 LCC196715 KSG196715 KIK196715 JYO196715 JOS196715 JEW196715 IVA196715 ILE196715 IBI196715 HRM196715 HHQ196715 GXU196715 GNY196715 GEC196715 FUG196715 FKK196715 FAO196715 EQS196715 EGW196715 DXA196715 DNE196715 DDI196715 CTM196715 CJQ196715 BZU196715 BPY196715 BGC196715 AWG196715 AMK196715 ACO196715 SS196715 IW196715 A196650 WVI131179 WLM131179 WBQ131179 VRU131179 VHY131179 UYC131179 UOG131179 UEK131179 TUO131179 TKS131179 TAW131179 SRA131179 SHE131179 RXI131179 RNM131179 RDQ131179 QTU131179 QJY131179 QAC131179 PQG131179 PGK131179 OWO131179 OMS131179 OCW131179 NTA131179 NJE131179 MZI131179 MPM131179 MFQ131179 LVU131179 LLY131179 LCC131179 KSG131179 KIK131179 JYO131179 JOS131179 JEW131179 IVA131179 ILE131179 IBI131179 HRM131179 HHQ131179 GXU131179 GNY131179 GEC131179 FUG131179 FKK131179 FAO131179 EQS131179 EGW131179 DXA131179 DNE131179 DDI131179 CTM131179 CJQ131179 BZU131179 BPY131179 BGC131179 AWG131179 AMK131179 ACO131179 SS131179 IW131179 A131114 WVI65643 WLM65643 WBQ65643 VRU65643 VHY65643 UYC65643 UOG65643 UEK65643 TUO65643 TKS65643 TAW65643 SRA65643 SHE65643 RXI65643 RNM65643 RDQ65643 QTU65643 QJY65643 QAC65643 PQG65643 PGK65643 OWO65643 OMS65643 OCW65643 NTA65643 NJE65643 MZI65643 MPM65643 MFQ65643 LVU65643 LLY65643 LCC65643 KSG65643 KIK65643 JYO65643 JOS65643 JEW65643 IVA65643 ILE65643 IBI65643 HRM65643 HHQ65643 GXU65643 GNY65643 GEC65643 FUG65643 FKK65643 FAO65643 EQS65643 EGW65643 DXA65643 DNE65643 DDI65643 CTM65643 CJQ65643 BZU65643 BPY65643 BGC65643 AWG65643 AMK65643 ACO65643 SS65643 IW65643 A65578 WVI108 WLM108 WBQ108 VRU108 VHY108 UYC108 UOG108 UEK108 TUO108 TKS108 TAW108 SRA108 SHE108 RXI108 RNM108 RDQ108 QTU108 QJY108 QAC108 PQG108 PGK108 OWO108 OMS108 OCW108 NTA108 NJE108 MZI108 MPM108 MFQ108 LVU108 LLY108 LCC108 KSG108 KIK108 JYO108 JOS108 JEW108 IVA108 ILE108 IBI108 HRM108 HHQ108 GXU108 GNY108 GEC108 FUG108 FKK108 FAO108 EQS108 EGW108 DXA108 DNE108 DDI108 CTM108 CJQ108 BZU108 BPY108 BGC108 AWG108 AMK108 ACO108 SS108 IW108" xr:uid="{99483D51-631B-4A0E-BCFE-748F12151B02}">
      <formula1>$A$94:$A$97</formula1>
    </dataValidation>
    <dataValidation type="list" allowBlank="1" showInputMessage="1" showErrorMessage="1" sqref="WVJ983066 IX26 ST26 ACP26 AML26 AWH26 BGD26 BPZ26 BZV26 CJR26 CTN26 DDJ26 DNF26 DXB26 EGX26 EQT26 FAP26 FKL26 FUH26 GED26 GNZ26 GXV26 HHR26 HRN26 IBJ26 ILF26 IVB26 JEX26 JOT26 JYP26 KIL26 KSH26 LCD26 LLZ26 LVV26 MFR26 MPN26 MZJ26 NJF26 NTB26 OCX26 OMT26 OWP26 PGL26 PQH26 QAD26 QJZ26 QTV26 RDR26 RNN26 RXJ26 SHF26 SRB26 TAX26 TKT26 TUP26 UEL26 UOH26 UYD26 VHZ26 VRV26 WBR26 WLN26 WVJ26 B65497 IX65562 ST65562 ACP65562 AML65562 AWH65562 BGD65562 BPZ65562 BZV65562 CJR65562 CTN65562 DDJ65562 DNF65562 DXB65562 EGX65562 EQT65562 FAP65562 FKL65562 FUH65562 GED65562 GNZ65562 GXV65562 HHR65562 HRN65562 IBJ65562 ILF65562 IVB65562 JEX65562 JOT65562 JYP65562 KIL65562 KSH65562 LCD65562 LLZ65562 LVV65562 MFR65562 MPN65562 MZJ65562 NJF65562 NTB65562 OCX65562 OMT65562 OWP65562 PGL65562 PQH65562 QAD65562 QJZ65562 QTV65562 RDR65562 RNN65562 RXJ65562 SHF65562 SRB65562 TAX65562 TKT65562 TUP65562 UEL65562 UOH65562 UYD65562 VHZ65562 VRV65562 WBR65562 WLN65562 WVJ65562 B131033 IX131098 ST131098 ACP131098 AML131098 AWH131098 BGD131098 BPZ131098 BZV131098 CJR131098 CTN131098 DDJ131098 DNF131098 DXB131098 EGX131098 EQT131098 FAP131098 FKL131098 FUH131098 GED131098 GNZ131098 GXV131098 HHR131098 HRN131098 IBJ131098 ILF131098 IVB131098 JEX131098 JOT131098 JYP131098 KIL131098 KSH131098 LCD131098 LLZ131098 LVV131098 MFR131098 MPN131098 MZJ131098 NJF131098 NTB131098 OCX131098 OMT131098 OWP131098 PGL131098 PQH131098 QAD131098 QJZ131098 QTV131098 RDR131098 RNN131098 RXJ131098 SHF131098 SRB131098 TAX131098 TKT131098 TUP131098 UEL131098 UOH131098 UYD131098 VHZ131098 VRV131098 WBR131098 WLN131098 WVJ131098 B196569 IX196634 ST196634 ACP196634 AML196634 AWH196634 BGD196634 BPZ196634 BZV196634 CJR196634 CTN196634 DDJ196634 DNF196634 DXB196634 EGX196634 EQT196634 FAP196634 FKL196634 FUH196634 GED196634 GNZ196634 GXV196634 HHR196634 HRN196634 IBJ196634 ILF196634 IVB196634 JEX196634 JOT196634 JYP196634 KIL196634 KSH196634 LCD196634 LLZ196634 LVV196634 MFR196634 MPN196634 MZJ196634 NJF196634 NTB196634 OCX196634 OMT196634 OWP196634 PGL196634 PQH196634 QAD196634 QJZ196634 QTV196634 RDR196634 RNN196634 RXJ196634 SHF196634 SRB196634 TAX196634 TKT196634 TUP196634 UEL196634 UOH196634 UYD196634 VHZ196634 VRV196634 WBR196634 WLN196634 WVJ196634 B262105 IX262170 ST262170 ACP262170 AML262170 AWH262170 BGD262170 BPZ262170 BZV262170 CJR262170 CTN262170 DDJ262170 DNF262170 DXB262170 EGX262170 EQT262170 FAP262170 FKL262170 FUH262170 GED262170 GNZ262170 GXV262170 HHR262170 HRN262170 IBJ262170 ILF262170 IVB262170 JEX262170 JOT262170 JYP262170 KIL262170 KSH262170 LCD262170 LLZ262170 LVV262170 MFR262170 MPN262170 MZJ262170 NJF262170 NTB262170 OCX262170 OMT262170 OWP262170 PGL262170 PQH262170 QAD262170 QJZ262170 QTV262170 RDR262170 RNN262170 RXJ262170 SHF262170 SRB262170 TAX262170 TKT262170 TUP262170 UEL262170 UOH262170 UYD262170 VHZ262170 VRV262170 WBR262170 WLN262170 WVJ262170 B327641 IX327706 ST327706 ACP327706 AML327706 AWH327706 BGD327706 BPZ327706 BZV327706 CJR327706 CTN327706 DDJ327706 DNF327706 DXB327706 EGX327706 EQT327706 FAP327706 FKL327706 FUH327706 GED327706 GNZ327706 GXV327706 HHR327706 HRN327706 IBJ327706 ILF327706 IVB327706 JEX327706 JOT327706 JYP327706 KIL327706 KSH327706 LCD327706 LLZ327706 LVV327706 MFR327706 MPN327706 MZJ327706 NJF327706 NTB327706 OCX327706 OMT327706 OWP327706 PGL327706 PQH327706 QAD327706 QJZ327706 QTV327706 RDR327706 RNN327706 RXJ327706 SHF327706 SRB327706 TAX327706 TKT327706 TUP327706 UEL327706 UOH327706 UYD327706 VHZ327706 VRV327706 WBR327706 WLN327706 WVJ327706 B393177 IX393242 ST393242 ACP393242 AML393242 AWH393242 BGD393242 BPZ393242 BZV393242 CJR393242 CTN393242 DDJ393242 DNF393242 DXB393242 EGX393242 EQT393242 FAP393242 FKL393242 FUH393242 GED393242 GNZ393242 GXV393242 HHR393242 HRN393242 IBJ393242 ILF393242 IVB393242 JEX393242 JOT393242 JYP393242 KIL393242 KSH393242 LCD393242 LLZ393242 LVV393242 MFR393242 MPN393242 MZJ393242 NJF393242 NTB393242 OCX393242 OMT393242 OWP393242 PGL393242 PQH393242 QAD393242 QJZ393242 QTV393242 RDR393242 RNN393242 RXJ393242 SHF393242 SRB393242 TAX393242 TKT393242 TUP393242 UEL393242 UOH393242 UYD393242 VHZ393242 VRV393242 WBR393242 WLN393242 WVJ393242 B458713 IX458778 ST458778 ACP458778 AML458778 AWH458778 BGD458778 BPZ458778 BZV458778 CJR458778 CTN458778 DDJ458778 DNF458778 DXB458778 EGX458778 EQT458778 FAP458778 FKL458778 FUH458778 GED458778 GNZ458778 GXV458778 HHR458778 HRN458778 IBJ458778 ILF458778 IVB458778 JEX458778 JOT458778 JYP458778 KIL458778 KSH458778 LCD458778 LLZ458778 LVV458778 MFR458778 MPN458778 MZJ458778 NJF458778 NTB458778 OCX458778 OMT458778 OWP458778 PGL458778 PQH458778 QAD458778 QJZ458778 QTV458778 RDR458778 RNN458778 RXJ458778 SHF458778 SRB458778 TAX458778 TKT458778 TUP458778 UEL458778 UOH458778 UYD458778 VHZ458778 VRV458778 WBR458778 WLN458778 WVJ458778 B524249 IX524314 ST524314 ACP524314 AML524314 AWH524314 BGD524314 BPZ524314 BZV524314 CJR524314 CTN524314 DDJ524314 DNF524314 DXB524314 EGX524314 EQT524314 FAP524314 FKL524314 FUH524314 GED524314 GNZ524314 GXV524314 HHR524314 HRN524314 IBJ524314 ILF524314 IVB524314 JEX524314 JOT524314 JYP524314 KIL524314 KSH524314 LCD524314 LLZ524314 LVV524314 MFR524314 MPN524314 MZJ524314 NJF524314 NTB524314 OCX524314 OMT524314 OWP524314 PGL524314 PQH524314 QAD524314 QJZ524314 QTV524314 RDR524314 RNN524314 RXJ524314 SHF524314 SRB524314 TAX524314 TKT524314 TUP524314 UEL524314 UOH524314 UYD524314 VHZ524314 VRV524314 WBR524314 WLN524314 WVJ524314 B589785 IX589850 ST589850 ACP589850 AML589850 AWH589850 BGD589850 BPZ589850 BZV589850 CJR589850 CTN589850 DDJ589850 DNF589850 DXB589850 EGX589850 EQT589850 FAP589850 FKL589850 FUH589850 GED589850 GNZ589850 GXV589850 HHR589850 HRN589850 IBJ589850 ILF589850 IVB589850 JEX589850 JOT589850 JYP589850 KIL589850 KSH589850 LCD589850 LLZ589850 LVV589850 MFR589850 MPN589850 MZJ589850 NJF589850 NTB589850 OCX589850 OMT589850 OWP589850 PGL589850 PQH589850 QAD589850 QJZ589850 QTV589850 RDR589850 RNN589850 RXJ589850 SHF589850 SRB589850 TAX589850 TKT589850 TUP589850 UEL589850 UOH589850 UYD589850 VHZ589850 VRV589850 WBR589850 WLN589850 WVJ589850 B655321 IX655386 ST655386 ACP655386 AML655386 AWH655386 BGD655386 BPZ655386 BZV655386 CJR655386 CTN655386 DDJ655386 DNF655386 DXB655386 EGX655386 EQT655386 FAP655386 FKL655386 FUH655386 GED655386 GNZ655386 GXV655386 HHR655386 HRN655386 IBJ655386 ILF655386 IVB655386 JEX655386 JOT655386 JYP655386 KIL655386 KSH655386 LCD655386 LLZ655386 LVV655386 MFR655386 MPN655386 MZJ655386 NJF655386 NTB655386 OCX655386 OMT655386 OWP655386 PGL655386 PQH655386 QAD655386 QJZ655386 QTV655386 RDR655386 RNN655386 RXJ655386 SHF655386 SRB655386 TAX655386 TKT655386 TUP655386 UEL655386 UOH655386 UYD655386 VHZ655386 VRV655386 WBR655386 WLN655386 WVJ655386 B720857 IX720922 ST720922 ACP720922 AML720922 AWH720922 BGD720922 BPZ720922 BZV720922 CJR720922 CTN720922 DDJ720922 DNF720922 DXB720922 EGX720922 EQT720922 FAP720922 FKL720922 FUH720922 GED720922 GNZ720922 GXV720922 HHR720922 HRN720922 IBJ720922 ILF720922 IVB720922 JEX720922 JOT720922 JYP720922 KIL720922 KSH720922 LCD720922 LLZ720922 LVV720922 MFR720922 MPN720922 MZJ720922 NJF720922 NTB720922 OCX720922 OMT720922 OWP720922 PGL720922 PQH720922 QAD720922 QJZ720922 QTV720922 RDR720922 RNN720922 RXJ720922 SHF720922 SRB720922 TAX720922 TKT720922 TUP720922 UEL720922 UOH720922 UYD720922 VHZ720922 VRV720922 WBR720922 WLN720922 WVJ720922 B786393 IX786458 ST786458 ACP786458 AML786458 AWH786458 BGD786458 BPZ786458 BZV786458 CJR786458 CTN786458 DDJ786458 DNF786458 DXB786458 EGX786458 EQT786458 FAP786458 FKL786458 FUH786458 GED786458 GNZ786458 GXV786458 HHR786458 HRN786458 IBJ786458 ILF786458 IVB786458 JEX786458 JOT786458 JYP786458 KIL786458 KSH786458 LCD786458 LLZ786458 LVV786458 MFR786458 MPN786458 MZJ786458 NJF786458 NTB786458 OCX786458 OMT786458 OWP786458 PGL786458 PQH786458 QAD786458 QJZ786458 QTV786458 RDR786458 RNN786458 RXJ786458 SHF786458 SRB786458 TAX786458 TKT786458 TUP786458 UEL786458 UOH786458 UYD786458 VHZ786458 VRV786458 WBR786458 WLN786458 WVJ786458 B851929 IX851994 ST851994 ACP851994 AML851994 AWH851994 BGD851994 BPZ851994 BZV851994 CJR851994 CTN851994 DDJ851994 DNF851994 DXB851994 EGX851994 EQT851994 FAP851994 FKL851994 FUH851994 GED851994 GNZ851994 GXV851994 HHR851994 HRN851994 IBJ851994 ILF851994 IVB851994 JEX851994 JOT851994 JYP851994 KIL851994 KSH851994 LCD851994 LLZ851994 LVV851994 MFR851994 MPN851994 MZJ851994 NJF851994 NTB851994 OCX851994 OMT851994 OWP851994 PGL851994 PQH851994 QAD851994 QJZ851994 QTV851994 RDR851994 RNN851994 RXJ851994 SHF851994 SRB851994 TAX851994 TKT851994 TUP851994 UEL851994 UOH851994 UYD851994 VHZ851994 VRV851994 WBR851994 WLN851994 WVJ851994 B917465 IX917530 ST917530 ACP917530 AML917530 AWH917530 BGD917530 BPZ917530 BZV917530 CJR917530 CTN917530 DDJ917530 DNF917530 DXB917530 EGX917530 EQT917530 FAP917530 FKL917530 FUH917530 GED917530 GNZ917530 GXV917530 HHR917530 HRN917530 IBJ917530 ILF917530 IVB917530 JEX917530 JOT917530 JYP917530 KIL917530 KSH917530 LCD917530 LLZ917530 LVV917530 MFR917530 MPN917530 MZJ917530 NJF917530 NTB917530 OCX917530 OMT917530 OWP917530 PGL917530 PQH917530 QAD917530 QJZ917530 QTV917530 RDR917530 RNN917530 RXJ917530 SHF917530 SRB917530 TAX917530 TKT917530 TUP917530 UEL917530 UOH917530 UYD917530 VHZ917530 VRV917530 WBR917530 WLN917530 WVJ917530 B983001 IX983066 ST983066 ACP983066 AML983066 AWH983066 BGD983066 BPZ983066 BZV983066 CJR983066 CTN983066 DDJ983066 DNF983066 DXB983066 EGX983066 EQT983066 FAP983066 FKL983066 FUH983066 GED983066 GNZ983066 GXV983066 HHR983066 HRN983066 IBJ983066 ILF983066 IVB983066 JEX983066 JOT983066 JYP983066 KIL983066 KSH983066 LCD983066 LLZ983066 LVV983066 MFR983066 MPN983066 MZJ983066 NJF983066 NTB983066 OCX983066 OMT983066 OWP983066 PGL983066 PQH983066 QAD983066 QJZ983066 QTV983066 RDR983066 RNN983066 RXJ983066 SHF983066 SRB983066 TAX983066 TKT983066 TUP983066 UEL983066 UOH983066 UYD983066 VHZ983066 VRV983066 WBR983066 WLN983066" xr:uid="{0AD923C5-FC0A-4F10-BCBD-A6000F723E80}">
      <formula1>$T$2:$T$71</formula1>
    </dataValidation>
    <dataValidation type="list" allowBlank="1" showInputMessage="1" showErrorMessage="1" sqref="B39 IX39 ST39 ACP39 AML39 AWH39 BGD39 BPZ39 BZV39 CJR39 CTN39 DDJ39 DNF39 DXB39 EGX39 EQT39 FAP39 FKL39 FUH39 GED39 GNZ39 GXV39 HHR39 HRN39 IBJ39 ILF39 IVB39 JEX39 JOT39 JYP39 KIL39 KSH39 LCD39 LLZ39 LVV39 MFR39 MPN39 MZJ39 NJF39 NTB39 OCX39 OMT39 OWP39 PGL39 PQH39 QAD39 QJZ39 QTV39 RDR39 RNN39 RXJ39 SHF39 SRB39 TAX39 TKT39 TUP39 UEL39 UOH39 UYD39 VHZ39 VRV39 WBR39 WLN39 WVJ39 B65510 IX65575 ST65575 ACP65575 AML65575 AWH65575 BGD65575 BPZ65575 BZV65575 CJR65575 CTN65575 DDJ65575 DNF65575 DXB65575 EGX65575 EQT65575 FAP65575 FKL65575 FUH65575 GED65575 GNZ65575 GXV65575 HHR65575 HRN65575 IBJ65575 ILF65575 IVB65575 JEX65575 JOT65575 JYP65575 KIL65575 KSH65575 LCD65575 LLZ65575 LVV65575 MFR65575 MPN65575 MZJ65575 NJF65575 NTB65575 OCX65575 OMT65575 OWP65575 PGL65575 PQH65575 QAD65575 QJZ65575 QTV65575 RDR65575 RNN65575 RXJ65575 SHF65575 SRB65575 TAX65575 TKT65575 TUP65575 UEL65575 UOH65575 UYD65575 VHZ65575 VRV65575 WBR65575 WLN65575 WVJ65575 B131046 IX131111 ST131111 ACP131111 AML131111 AWH131111 BGD131111 BPZ131111 BZV131111 CJR131111 CTN131111 DDJ131111 DNF131111 DXB131111 EGX131111 EQT131111 FAP131111 FKL131111 FUH131111 GED131111 GNZ131111 GXV131111 HHR131111 HRN131111 IBJ131111 ILF131111 IVB131111 JEX131111 JOT131111 JYP131111 KIL131111 KSH131111 LCD131111 LLZ131111 LVV131111 MFR131111 MPN131111 MZJ131111 NJF131111 NTB131111 OCX131111 OMT131111 OWP131111 PGL131111 PQH131111 QAD131111 QJZ131111 QTV131111 RDR131111 RNN131111 RXJ131111 SHF131111 SRB131111 TAX131111 TKT131111 TUP131111 UEL131111 UOH131111 UYD131111 VHZ131111 VRV131111 WBR131111 WLN131111 WVJ131111 B196582 IX196647 ST196647 ACP196647 AML196647 AWH196647 BGD196647 BPZ196647 BZV196647 CJR196647 CTN196647 DDJ196647 DNF196647 DXB196647 EGX196647 EQT196647 FAP196647 FKL196647 FUH196647 GED196647 GNZ196647 GXV196647 HHR196647 HRN196647 IBJ196647 ILF196647 IVB196647 JEX196647 JOT196647 JYP196647 KIL196647 KSH196647 LCD196647 LLZ196647 LVV196647 MFR196647 MPN196647 MZJ196647 NJF196647 NTB196647 OCX196647 OMT196647 OWP196647 PGL196647 PQH196647 QAD196647 QJZ196647 QTV196647 RDR196647 RNN196647 RXJ196647 SHF196647 SRB196647 TAX196647 TKT196647 TUP196647 UEL196647 UOH196647 UYD196647 VHZ196647 VRV196647 WBR196647 WLN196647 WVJ196647 B262118 IX262183 ST262183 ACP262183 AML262183 AWH262183 BGD262183 BPZ262183 BZV262183 CJR262183 CTN262183 DDJ262183 DNF262183 DXB262183 EGX262183 EQT262183 FAP262183 FKL262183 FUH262183 GED262183 GNZ262183 GXV262183 HHR262183 HRN262183 IBJ262183 ILF262183 IVB262183 JEX262183 JOT262183 JYP262183 KIL262183 KSH262183 LCD262183 LLZ262183 LVV262183 MFR262183 MPN262183 MZJ262183 NJF262183 NTB262183 OCX262183 OMT262183 OWP262183 PGL262183 PQH262183 QAD262183 QJZ262183 QTV262183 RDR262183 RNN262183 RXJ262183 SHF262183 SRB262183 TAX262183 TKT262183 TUP262183 UEL262183 UOH262183 UYD262183 VHZ262183 VRV262183 WBR262183 WLN262183 WVJ262183 B327654 IX327719 ST327719 ACP327719 AML327719 AWH327719 BGD327719 BPZ327719 BZV327719 CJR327719 CTN327719 DDJ327719 DNF327719 DXB327719 EGX327719 EQT327719 FAP327719 FKL327719 FUH327719 GED327719 GNZ327719 GXV327719 HHR327719 HRN327719 IBJ327719 ILF327719 IVB327719 JEX327719 JOT327719 JYP327719 KIL327719 KSH327719 LCD327719 LLZ327719 LVV327719 MFR327719 MPN327719 MZJ327719 NJF327719 NTB327719 OCX327719 OMT327719 OWP327719 PGL327719 PQH327719 QAD327719 QJZ327719 QTV327719 RDR327719 RNN327719 RXJ327719 SHF327719 SRB327719 TAX327719 TKT327719 TUP327719 UEL327719 UOH327719 UYD327719 VHZ327719 VRV327719 WBR327719 WLN327719 WVJ327719 B393190 IX393255 ST393255 ACP393255 AML393255 AWH393255 BGD393255 BPZ393255 BZV393255 CJR393255 CTN393255 DDJ393255 DNF393255 DXB393255 EGX393255 EQT393255 FAP393255 FKL393255 FUH393255 GED393255 GNZ393255 GXV393255 HHR393255 HRN393255 IBJ393255 ILF393255 IVB393255 JEX393255 JOT393255 JYP393255 KIL393255 KSH393255 LCD393255 LLZ393255 LVV393255 MFR393255 MPN393255 MZJ393255 NJF393255 NTB393255 OCX393255 OMT393255 OWP393255 PGL393255 PQH393255 QAD393255 QJZ393255 QTV393255 RDR393255 RNN393255 RXJ393255 SHF393255 SRB393255 TAX393255 TKT393255 TUP393255 UEL393255 UOH393255 UYD393255 VHZ393255 VRV393255 WBR393255 WLN393255 WVJ393255 B458726 IX458791 ST458791 ACP458791 AML458791 AWH458791 BGD458791 BPZ458791 BZV458791 CJR458791 CTN458791 DDJ458791 DNF458791 DXB458791 EGX458791 EQT458791 FAP458791 FKL458791 FUH458791 GED458791 GNZ458791 GXV458791 HHR458791 HRN458791 IBJ458791 ILF458791 IVB458791 JEX458791 JOT458791 JYP458791 KIL458791 KSH458791 LCD458791 LLZ458791 LVV458791 MFR458791 MPN458791 MZJ458791 NJF458791 NTB458791 OCX458791 OMT458791 OWP458791 PGL458791 PQH458791 QAD458791 QJZ458791 QTV458791 RDR458791 RNN458791 RXJ458791 SHF458791 SRB458791 TAX458791 TKT458791 TUP458791 UEL458791 UOH458791 UYD458791 VHZ458791 VRV458791 WBR458791 WLN458791 WVJ458791 B524262 IX524327 ST524327 ACP524327 AML524327 AWH524327 BGD524327 BPZ524327 BZV524327 CJR524327 CTN524327 DDJ524327 DNF524327 DXB524327 EGX524327 EQT524327 FAP524327 FKL524327 FUH524327 GED524327 GNZ524327 GXV524327 HHR524327 HRN524327 IBJ524327 ILF524327 IVB524327 JEX524327 JOT524327 JYP524327 KIL524327 KSH524327 LCD524327 LLZ524327 LVV524327 MFR524327 MPN524327 MZJ524327 NJF524327 NTB524327 OCX524327 OMT524327 OWP524327 PGL524327 PQH524327 QAD524327 QJZ524327 QTV524327 RDR524327 RNN524327 RXJ524327 SHF524327 SRB524327 TAX524327 TKT524327 TUP524327 UEL524327 UOH524327 UYD524327 VHZ524327 VRV524327 WBR524327 WLN524327 WVJ524327 B589798 IX589863 ST589863 ACP589863 AML589863 AWH589863 BGD589863 BPZ589863 BZV589863 CJR589863 CTN589863 DDJ589863 DNF589863 DXB589863 EGX589863 EQT589863 FAP589863 FKL589863 FUH589863 GED589863 GNZ589863 GXV589863 HHR589863 HRN589863 IBJ589863 ILF589863 IVB589863 JEX589863 JOT589863 JYP589863 KIL589863 KSH589863 LCD589863 LLZ589863 LVV589863 MFR589863 MPN589863 MZJ589863 NJF589863 NTB589863 OCX589863 OMT589863 OWP589863 PGL589863 PQH589863 QAD589863 QJZ589863 QTV589863 RDR589863 RNN589863 RXJ589863 SHF589863 SRB589863 TAX589863 TKT589863 TUP589863 UEL589863 UOH589863 UYD589863 VHZ589863 VRV589863 WBR589863 WLN589863 WVJ589863 B655334 IX655399 ST655399 ACP655399 AML655399 AWH655399 BGD655399 BPZ655399 BZV655399 CJR655399 CTN655399 DDJ655399 DNF655399 DXB655399 EGX655399 EQT655399 FAP655399 FKL655399 FUH655399 GED655399 GNZ655399 GXV655399 HHR655399 HRN655399 IBJ655399 ILF655399 IVB655399 JEX655399 JOT655399 JYP655399 KIL655399 KSH655399 LCD655399 LLZ655399 LVV655399 MFR655399 MPN655399 MZJ655399 NJF655399 NTB655399 OCX655399 OMT655399 OWP655399 PGL655399 PQH655399 QAD655399 QJZ655399 QTV655399 RDR655399 RNN655399 RXJ655399 SHF655399 SRB655399 TAX655399 TKT655399 TUP655399 UEL655399 UOH655399 UYD655399 VHZ655399 VRV655399 WBR655399 WLN655399 WVJ655399 B720870 IX720935 ST720935 ACP720935 AML720935 AWH720935 BGD720935 BPZ720935 BZV720935 CJR720935 CTN720935 DDJ720935 DNF720935 DXB720935 EGX720935 EQT720935 FAP720935 FKL720935 FUH720935 GED720935 GNZ720935 GXV720935 HHR720935 HRN720935 IBJ720935 ILF720935 IVB720935 JEX720935 JOT720935 JYP720935 KIL720935 KSH720935 LCD720935 LLZ720935 LVV720935 MFR720935 MPN720935 MZJ720935 NJF720935 NTB720935 OCX720935 OMT720935 OWP720935 PGL720935 PQH720935 QAD720935 QJZ720935 QTV720935 RDR720935 RNN720935 RXJ720935 SHF720935 SRB720935 TAX720935 TKT720935 TUP720935 UEL720935 UOH720935 UYD720935 VHZ720935 VRV720935 WBR720935 WLN720935 WVJ720935 B786406 IX786471 ST786471 ACP786471 AML786471 AWH786471 BGD786471 BPZ786471 BZV786471 CJR786471 CTN786471 DDJ786471 DNF786471 DXB786471 EGX786471 EQT786471 FAP786471 FKL786471 FUH786471 GED786471 GNZ786471 GXV786471 HHR786471 HRN786471 IBJ786471 ILF786471 IVB786471 JEX786471 JOT786471 JYP786471 KIL786471 KSH786471 LCD786471 LLZ786471 LVV786471 MFR786471 MPN786471 MZJ786471 NJF786471 NTB786471 OCX786471 OMT786471 OWP786471 PGL786471 PQH786471 QAD786471 QJZ786471 QTV786471 RDR786471 RNN786471 RXJ786471 SHF786471 SRB786471 TAX786471 TKT786471 TUP786471 UEL786471 UOH786471 UYD786471 VHZ786471 VRV786471 WBR786471 WLN786471 WVJ786471 B851942 IX852007 ST852007 ACP852007 AML852007 AWH852007 BGD852007 BPZ852007 BZV852007 CJR852007 CTN852007 DDJ852007 DNF852007 DXB852007 EGX852007 EQT852007 FAP852007 FKL852007 FUH852007 GED852007 GNZ852007 GXV852007 HHR852007 HRN852007 IBJ852007 ILF852007 IVB852007 JEX852007 JOT852007 JYP852007 KIL852007 KSH852007 LCD852007 LLZ852007 LVV852007 MFR852007 MPN852007 MZJ852007 NJF852007 NTB852007 OCX852007 OMT852007 OWP852007 PGL852007 PQH852007 QAD852007 QJZ852007 QTV852007 RDR852007 RNN852007 RXJ852007 SHF852007 SRB852007 TAX852007 TKT852007 TUP852007 UEL852007 UOH852007 UYD852007 VHZ852007 VRV852007 WBR852007 WLN852007 WVJ852007 B917478 IX917543 ST917543 ACP917543 AML917543 AWH917543 BGD917543 BPZ917543 BZV917543 CJR917543 CTN917543 DDJ917543 DNF917543 DXB917543 EGX917543 EQT917543 FAP917543 FKL917543 FUH917543 GED917543 GNZ917543 GXV917543 HHR917543 HRN917543 IBJ917543 ILF917543 IVB917543 JEX917543 JOT917543 JYP917543 KIL917543 KSH917543 LCD917543 LLZ917543 LVV917543 MFR917543 MPN917543 MZJ917543 NJF917543 NTB917543 OCX917543 OMT917543 OWP917543 PGL917543 PQH917543 QAD917543 QJZ917543 QTV917543 RDR917543 RNN917543 RXJ917543 SHF917543 SRB917543 TAX917543 TKT917543 TUP917543 UEL917543 UOH917543 UYD917543 VHZ917543 VRV917543 WBR917543 WLN917543 WVJ917543 B983014 IX983079 ST983079 ACP983079 AML983079 AWH983079 BGD983079 BPZ983079 BZV983079 CJR983079 CTN983079 DDJ983079 DNF983079 DXB983079 EGX983079 EQT983079 FAP983079 FKL983079 FUH983079 GED983079 GNZ983079 GXV983079 HHR983079 HRN983079 IBJ983079 ILF983079 IVB983079 JEX983079 JOT983079 JYP983079 KIL983079 KSH983079 LCD983079 LLZ983079 LVV983079 MFR983079 MPN983079 MZJ983079 NJF983079 NTB983079 OCX983079 OMT983079 OWP983079 PGL983079 PQH983079 QAD983079 QJZ983079 QTV983079 RDR983079 RNN983079 RXJ983079 SHF983079 SRB983079 TAX983079 TKT983079 TUP983079 UEL983079 UOH983079 UYD983079 VHZ983079 VRV983079 WBR983079 WLN983079 WVJ983079 B45 IX45 ST45 ACP45 AML45 AWH45 BGD45 BPZ45 BZV45 CJR45 CTN45 DDJ45 DNF45 DXB45 EGX45 EQT45 FAP45 FKL45 FUH45 GED45 GNZ45 GXV45 HHR45 HRN45 IBJ45 ILF45 IVB45 JEX45 JOT45 JYP45 KIL45 KSH45 LCD45 LLZ45 LVV45 MFR45 MPN45 MZJ45 NJF45 NTB45 OCX45 OMT45 OWP45 PGL45 PQH45 QAD45 QJZ45 QTV45 RDR45 RNN45 RXJ45 SHF45 SRB45 TAX45 TKT45 TUP45 UEL45 UOH45 UYD45 VHZ45 VRV45 WBR45 WLN45 WVJ45 B65516 IX65581 ST65581 ACP65581 AML65581 AWH65581 BGD65581 BPZ65581 BZV65581 CJR65581 CTN65581 DDJ65581 DNF65581 DXB65581 EGX65581 EQT65581 FAP65581 FKL65581 FUH65581 GED65581 GNZ65581 GXV65581 HHR65581 HRN65581 IBJ65581 ILF65581 IVB65581 JEX65581 JOT65581 JYP65581 KIL65581 KSH65581 LCD65581 LLZ65581 LVV65581 MFR65581 MPN65581 MZJ65581 NJF65581 NTB65581 OCX65581 OMT65581 OWP65581 PGL65581 PQH65581 QAD65581 QJZ65581 QTV65581 RDR65581 RNN65581 RXJ65581 SHF65581 SRB65581 TAX65581 TKT65581 TUP65581 UEL65581 UOH65581 UYD65581 VHZ65581 VRV65581 WBR65581 WLN65581 WVJ65581 B131052 IX131117 ST131117 ACP131117 AML131117 AWH131117 BGD131117 BPZ131117 BZV131117 CJR131117 CTN131117 DDJ131117 DNF131117 DXB131117 EGX131117 EQT131117 FAP131117 FKL131117 FUH131117 GED131117 GNZ131117 GXV131117 HHR131117 HRN131117 IBJ131117 ILF131117 IVB131117 JEX131117 JOT131117 JYP131117 KIL131117 KSH131117 LCD131117 LLZ131117 LVV131117 MFR131117 MPN131117 MZJ131117 NJF131117 NTB131117 OCX131117 OMT131117 OWP131117 PGL131117 PQH131117 QAD131117 QJZ131117 QTV131117 RDR131117 RNN131117 RXJ131117 SHF131117 SRB131117 TAX131117 TKT131117 TUP131117 UEL131117 UOH131117 UYD131117 VHZ131117 VRV131117 WBR131117 WLN131117 WVJ131117 B196588 IX196653 ST196653 ACP196653 AML196653 AWH196653 BGD196653 BPZ196653 BZV196653 CJR196653 CTN196653 DDJ196653 DNF196653 DXB196653 EGX196653 EQT196653 FAP196653 FKL196653 FUH196653 GED196653 GNZ196653 GXV196653 HHR196653 HRN196653 IBJ196653 ILF196653 IVB196653 JEX196653 JOT196653 JYP196653 KIL196653 KSH196653 LCD196653 LLZ196653 LVV196653 MFR196653 MPN196653 MZJ196653 NJF196653 NTB196653 OCX196653 OMT196653 OWP196653 PGL196653 PQH196653 QAD196653 QJZ196653 QTV196653 RDR196653 RNN196653 RXJ196653 SHF196653 SRB196653 TAX196653 TKT196653 TUP196653 UEL196653 UOH196653 UYD196653 VHZ196653 VRV196653 WBR196653 WLN196653 WVJ196653 B262124 IX262189 ST262189 ACP262189 AML262189 AWH262189 BGD262189 BPZ262189 BZV262189 CJR262189 CTN262189 DDJ262189 DNF262189 DXB262189 EGX262189 EQT262189 FAP262189 FKL262189 FUH262189 GED262189 GNZ262189 GXV262189 HHR262189 HRN262189 IBJ262189 ILF262189 IVB262189 JEX262189 JOT262189 JYP262189 KIL262189 KSH262189 LCD262189 LLZ262189 LVV262189 MFR262189 MPN262189 MZJ262189 NJF262189 NTB262189 OCX262189 OMT262189 OWP262189 PGL262189 PQH262189 QAD262189 QJZ262189 QTV262189 RDR262189 RNN262189 RXJ262189 SHF262189 SRB262189 TAX262189 TKT262189 TUP262189 UEL262189 UOH262189 UYD262189 VHZ262189 VRV262189 WBR262189 WLN262189 WVJ262189 B327660 IX327725 ST327725 ACP327725 AML327725 AWH327725 BGD327725 BPZ327725 BZV327725 CJR327725 CTN327725 DDJ327725 DNF327725 DXB327725 EGX327725 EQT327725 FAP327725 FKL327725 FUH327725 GED327725 GNZ327725 GXV327725 HHR327725 HRN327725 IBJ327725 ILF327725 IVB327725 JEX327725 JOT327725 JYP327725 KIL327725 KSH327725 LCD327725 LLZ327725 LVV327725 MFR327725 MPN327725 MZJ327725 NJF327725 NTB327725 OCX327725 OMT327725 OWP327725 PGL327725 PQH327725 QAD327725 QJZ327725 QTV327725 RDR327725 RNN327725 RXJ327725 SHF327725 SRB327725 TAX327725 TKT327725 TUP327725 UEL327725 UOH327725 UYD327725 VHZ327725 VRV327725 WBR327725 WLN327725 WVJ327725 B393196 IX393261 ST393261 ACP393261 AML393261 AWH393261 BGD393261 BPZ393261 BZV393261 CJR393261 CTN393261 DDJ393261 DNF393261 DXB393261 EGX393261 EQT393261 FAP393261 FKL393261 FUH393261 GED393261 GNZ393261 GXV393261 HHR393261 HRN393261 IBJ393261 ILF393261 IVB393261 JEX393261 JOT393261 JYP393261 KIL393261 KSH393261 LCD393261 LLZ393261 LVV393261 MFR393261 MPN393261 MZJ393261 NJF393261 NTB393261 OCX393261 OMT393261 OWP393261 PGL393261 PQH393261 QAD393261 QJZ393261 QTV393261 RDR393261 RNN393261 RXJ393261 SHF393261 SRB393261 TAX393261 TKT393261 TUP393261 UEL393261 UOH393261 UYD393261 VHZ393261 VRV393261 WBR393261 WLN393261 WVJ393261 B458732 IX458797 ST458797 ACP458797 AML458797 AWH458797 BGD458797 BPZ458797 BZV458797 CJR458797 CTN458797 DDJ458797 DNF458797 DXB458797 EGX458797 EQT458797 FAP458797 FKL458797 FUH458797 GED458797 GNZ458797 GXV458797 HHR458797 HRN458797 IBJ458797 ILF458797 IVB458797 JEX458797 JOT458797 JYP458797 KIL458797 KSH458797 LCD458797 LLZ458797 LVV458797 MFR458797 MPN458797 MZJ458797 NJF458797 NTB458797 OCX458797 OMT458797 OWP458797 PGL458797 PQH458797 QAD458797 QJZ458797 QTV458797 RDR458797 RNN458797 RXJ458797 SHF458797 SRB458797 TAX458797 TKT458797 TUP458797 UEL458797 UOH458797 UYD458797 VHZ458797 VRV458797 WBR458797 WLN458797 WVJ458797 B524268 IX524333 ST524333 ACP524333 AML524333 AWH524333 BGD524333 BPZ524333 BZV524333 CJR524333 CTN524333 DDJ524333 DNF524333 DXB524333 EGX524333 EQT524333 FAP524333 FKL524333 FUH524333 GED524333 GNZ524333 GXV524333 HHR524333 HRN524333 IBJ524333 ILF524333 IVB524333 JEX524333 JOT524333 JYP524333 KIL524333 KSH524333 LCD524333 LLZ524333 LVV524333 MFR524333 MPN524333 MZJ524333 NJF524333 NTB524333 OCX524333 OMT524333 OWP524333 PGL524333 PQH524333 QAD524333 QJZ524333 QTV524333 RDR524333 RNN524333 RXJ524333 SHF524333 SRB524333 TAX524333 TKT524333 TUP524333 UEL524333 UOH524333 UYD524333 VHZ524333 VRV524333 WBR524333 WLN524333 WVJ524333 B589804 IX589869 ST589869 ACP589869 AML589869 AWH589869 BGD589869 BPZ589869 BZV589869 CJR589869 CTN589869 DDJ589869 DNF589869 DXB589869 EGX589869 EQT589869 FAP589869 FKL589869 FUH589869 GED589869 GNZ589869 GXV589869 HHR589869 HRN589869 IBJ589869 ILF589869 IVB589869 JEX589869 JOT589869 JYP589869 KIL589869 KSH589869 LCD589869 LLZ589869 LVV589869 MFR589869 MPN589869 MZJ589869 NJF589869 NTB589869 OCX589869 OMT589869 OWP589869 PGL589869 PQH589869 QAD589869 QJZ589869 QTV589869 RDR589869 RNN589869 RXJ589869 SHF589869 SRB589869 TAX589869 TKT589869 TUP589869 UEL589869 UOH589869 UYD589869 VHZ589869 VRV589869 WBR589869 WLN589869 WVJ589869 B655340 IX655405 ST655405 ACP655405 AML655405 AWH655405 BGD655405 BPZ655405 BZV655405 CJR655405 CTN655405 DDJ655405 DNF655405 DXB655405 EGX655405 EQT655405 FAP655405 FKL655405 FUH655405 GED655405 GNZ655405 GXV655405 HHR655405 HRN655405 IBJ655405 ILF655405 IVB655405 JEX655405 JOT655405 JYP655405 KIL655405 KSH655405 LCD655405 LLZ655405 LVV655405 MFR655405 MPN655405 MZJ655405 NJF655405 NTB655405 OCX655405 OMT655405 OWP655405 PGL655405 PQH655405 QAD655405 QJZ655405 QTV655405 RDR655405 RNN655405 RXJ655405 SHF655405 SRB655405 TAX655405 TKT655405 TUP655405 UEL655405 UOH655405 UYD655405 VHZ655405 VRV655405 WBR655405 WLN655405 WVJ655405 B720876 IX720941 ST720941 ACP720941 AML720941 AWH720941 BGD720941 BPZ720941 BZV720941 CJR720941 CTN720941 DDJ720941 DNF720941 DXB720941 EGX720941 EQT720941 FAP720941 FKL720941 FUH720941 GED720941 GNZ720941 GXV720941 HHR720941 HRN720941 IBJ720941 ILF720941 IVB720941 JEX720941 JOT720941 JYP720941 KIL720941 KSH720941 LCD720941 LLZ720941 LVV720941 MFR720941 MPN720941 MZJ720941 NJF720941 NTB720941 OCX720941 OMT720941 OWP720941 PGL720941 PQH720941 QAD720941 QJZ720941 QTV720941 RDR720941 RNN720941 RXJ720941 SHF720941 SRB720941 TAX720941 TKT720941 TUP720941 UEL720941 UOH720941 UYD720941 VHZ720941 VRV720941 WBR720941 WLN720941 WVJ720941 B786412 IX786477 ST786477 ACP786477 AML786477 AWH786477 BGD786477 BPZ786477 BZV786477 CJR786477 CTN786477 DDJ786477 DNF786477 DXB786477 EGX786477 EQT786477 FAP786477 FKL786477 FUH786477 GED786477 GNZ786477 GXV786477 HHR786477 HRN786477 IBJ786477 ILF786477 IVB786477 JEX786477 JOT786477 JYP786477 KIL786477 KSH786477 LCD786477 LLZ786477 LVV786477 MFR786477 MPN786477 MZJ786477 NJF786477 NTB786477 OCX786477 OMT786477 OWP786477 PGL786477 PQH786477 QAD786477 QJZ786477 QTV786477 RDR786477 RNN786477 RXJ786477 SHF786477 SRB786477 TAX786477 TKT786477 TUP786477 UEL786477 UOH786477 UYD786477 VHZ786477 VRV786477 WBR786477 WLN786477 WVJ786477 B851948 IX852013 ST852013 ACP852013 AML852013 AWH852013 BGD852013 BPZ852013 BZV852013 CJR852013 CTN852013 DDJ852013 DNF852013 DXB852013 EGX852013 EQT852013 FAP852013 FKL852013 FUH852013 GED852013 GNZ852013 GXV852013 HHR852013 HRN852013 IBJ852013 ILF852013 IVB852013 JEX852013 JOT852013 JYP852013 KIL852013 KSH852013 LCD852013 LLZ852013 LVV852013 MFR852013 MPN852013 MZJ852013 NJF852013 NTB852013 OCX852013 OMT852013 OWP852013 PGL852013 PQH852013 QAD852013 QJZ852013 QTV852013 RDR852013 RNN852013 RXJ852013 SHF852013 SRB852013 TAX852013 TKT852013 TUP852013 UEL852013 UOH852013 UYD852013 VHZ852013 VRV852013 WBR852013 WLN852013 WVJ852013 B917484 IX917549 ST917549 ACP917549 AML917549 AWH917549 BGD917549 BPZ917549 BZV917549 CJR917549 CTN917549 DDJ917549 DNF917549 DXB917549 EGX917549 EQT917549 FAP917549 FKL917549 FUH917549 GED917549 GNZ917549 GXV917549 HHR917549 HRN917549 IBJ917549 ILF917549 IVB917549 JEX917549 JOT917549 JYP917549 KIL917549 KSH917549 LCD917549 LLZ917549 LVV917549 MFR917549 MPN917549 MZJ917549 NJF917549 NTB917549 OCX917549 OMT917549 OWP917549 PGL917549 PQH917549 QAD917549 QJZ917549 QTV917549 RDR917549 RNN917549 RXJ917549 SHF917549 SRB917549 TAX917549 TKT917549 TUP917549 UEL917549 UOH917549 UYD917549 VHZ917549 VRV917549 WBR917549 WLN917549 WVJ917549 B983020 IX983085 ST983085 ACP983085 AML983085 AWH983085 BGD983085 BPZ983085 BZV983085 CJR983085 CTN983085 DDJ983085 DNF983085 DXB983085 EGX983085 EQT983085 FAP983085 FKL983085 FUH983085 GED983085 GNZ983085 GXV983085 HHR983085 HRN983085 IBJ983085 ILF983085 IVB983085 JEX983085 JOT983085 JYP983085 KIL983085 KSH983085 LCD983085 LLZ983085 LVV983085 MFR983085 MPN983085 MZJ983085 NJF983085 NTB983085 OCX983085 OMT983085 OWP983085 PGL983085 PQH983085 QAD983085 QJZ983085 QTV983085 RDR983085 RNN983085 RXJ983085 SHF983085 SRB983085 TAX983085 TKT983085 TUP983085 UEL983085 UOH983085 UYD983085 VHZ983085 VRV983085 WBR983085 WLN983085 WVJ983085" xr:uid="{62AC7134-8BA2-4553-9646-C4ED4F8BF306}">
      <formula1>$AI$2:$AI$54</formula1>
    </dataValidation>
    <dataValidation type="list" allowBlank="1" showInputMessage="1" showErrorMessage="1" sqref="WVJ983047 IX7 ST7 ACP7 AML7 AWH7 BGD7 BPZ7 BZV7 CJR7 CTN7 DDJ7 DNF7 DXB7 EGX7 EQT7 FAP7 FKL7 FUH7 GED7 GNZ7 GXV7 HHR7 HRN7 IBJ7 ILF7 IVB7 JEX7 JOT7 JYP7 KIL7 KSH7 LCD7 LLZ7 LVV7 MFR7 MPN7 MZJ7 NJF7 NTB7 OCX7 OMT7 OWP7 PGL7 PQH7 QAD7 QJZ7 QTV7 RDR7 RNN7 RXJ7 SHF7 SRB7 TAX7 TKT7 TUP7 UEL7 UOH7 UYD7 VHZ7 VRV7 WBR7 WLN7 WVJ7 B65478 IX65543 ST65543 ACP65543 AML65543 AWH65543 BGD65543 BPZ65543 BZV65543 CJR65543 CTN65543 DDJ65543 DNF65543 DXB65543 EGX65543 EQT65543 FAP65543 FKL65543 FUH65543 GED65543 GNZ65543 GXV65543 HHR65543 HRN65543 IBJ65543 ILF65543 IVB65543 JEX65543 JOT65543 JYP65543 KIL65543 KSH65543 LCD65543 LLZ65543 LVV65543 MFR65543 MPN65543 MZJ65543 NJF65543 NTB65543 OCX65543 OMT65543 OWP65543 PGL65543 PQH65543 QAD65543 QJZ65543 QTV65543 RDR65543 RNN65543 RXJ65543 SHF65543 SRB65543 TAX65543 TKT65543 TUP65543 UEL65543 UOH65543 UYD65543 VHZ65543 VRV65543 WBR65543 WLN65543 WVJ65543 B131014 IX131079 ST131079 ACP131079 AML131079 AWH131079 BGD131079 BPZ131079 BZV131079 CJR131079 CTN131079 DDJ131079 DNF131079 DXB131079 EGX131079 EQT131079 FAP131079 FKL131079 FUH131079 GED131079 GNZ131079 GXV131079 HHR131079 HRN131079 IBJ131079 ILF131079 IVB131079 JEX131079 JOT131079 JYP131079 KIL131079 KSH131079 LCD131079 LLZ131079 LVV131079 MFR131079 MPN131079 MZJ131079 NJF131079 NTB131079 OCX131079 OMT131079 OWP131079 PGL131079 PQH131079 QAD131079 QJZ131079 QTV131079 RDR131079 RNN131079 RXJ131079 SHF131079 SRB131079 TAX131079 TKT131079 TUP131079 UEL131079 UOH131079 UYD131079 VHZ131079 VRV131079 WBR131079 WLN131079 WVJ131079 B196550 IX196615 ST196615 ACP196615 AML196615 AWH196615 BGD196615 BPZ196615 BZV196615 CJR196615 CTN196615 DDJ196615 DNF196615 DXB196615 EGX196615 EQT196615 FAP196615 FKL196615 FUH196615 GED196615 GNZ196615 GXV196615 HHR196615 HRN196615 IBJ196615 ILF196615 IVB196615 JEX196615 JOT196615 JYP196615 KIL196615 KSH196615 LCD196615 LLZ196615 LVV196615 MFR196615 MPN196615 MZJ196615 NJF196615 NTB196615 OCX196615 OMT196615 OWP196615 PGL196615 PQH196615 QAD196615 QJZ196615 QTV196615 RDR196615 RNN196615 RXJ196615 SHF196615 SRB196615 TAX196615 TKT196615 TUP196615 UEL196615 UOH196615 UYD196615 VHZ196615 VRV196615 WBR196615 WLN196615 WVJ196615 B262086 IX262151 ST262151 ACP262151 AML262151 AWH262151 BGD262151 BPZ262151 BZV262151 CJR262151 CTN262151 DDJ262151 DNF262151 DXB262151 EGX262151 EQT262151 FAP262151 FKL262151 FUH262151 GED262151 GNZ262151 GXV262151 HHR262151 HRN262151 IBJ262151 ILF262151 IVB262151 JEX262151 JOT262151 JYP262151 KIL262151 KSH262151 LCD262151 LLZ262151 LVV262151 MFR262151 MPN262151 MZJ262151 NJF262151 NTB262151 OCX262151 OMT262151 OWP262151 PGL262151 PQH262151 QAD262151 QJZ262151 QTV262151 RDR262151 RNN262151 RXJ262151 SHF262151 SRB262151 TAX262151 TKT262151 TUP262151 UEL262151 UOH262151 UYD262151 VHZ262151 VRV262151 WBR262151 WLN262151 WVJ262151 B327622 IX327687 ST327687 ACP327687 AML327687 AWH327687 BGD327687 BPZ327687 BZV327687 CJR327687 CTN327687 DDJ327687 DNF327687 DXB327687 EGX327687 EQT327687 FAP327687 FKL327687 FUH327687 GED327687 GNZ327687 GXV327687 HHR327687 HRN327687 IBJ327687 ILF327687 IVB327687 JEX327687 JOT327687 JYP327687 KIL327687 KSH327687 LCD327687 LLZ327687 LVV327687 MFR327687 MPN327687 MZJ327687 NJF327687 NTB327687 OCX327687 OMT327687 OWP327687 PGL327687 PQH327687 QAD327687 QJZ327687 QTV327687 RDR327687 RNN327687 RXJ327687 SHF327687 SRB327687 TAX327687 TKT327687 TUP327687 UEL327687 UOH327687 UYD327687 VHZ327687 VRV327687 WBR327687 WLN327687 WVJ327687 B393158 IX393223 ST393223 ACP393223 AML393223 AWH393223 BGD393223 BPZ393223 BZV393223 CJR393223 CTN393223 DDJ393223 DNF393223 DXB393223 EGX393223 EQT393223 FAP393223 FKL393223 FUH393223 GED393223 GNZ393223 GXV393223 HHR393223 HRN393223 IBJ393223 ILF393223 IVB393223 JEX393223 JOT393223 JYP393223 KIL393223 KSH393223 LCD393223 LLZ393223 LVV393223 MFR393223 MPN393223 MZJ393223 NJF393223 NTB393223 OCX393223 OMT393223 OWP393223 PGL393223 PQH393223 QAD393223 QJZ393223 QTV393223 RDR393223 RNN393223 RXJ393223 SHF393223 SRB393223 TAX393223 TKT393223 TUP393223 UEL393223 UOH393223 UYD393223 VHZ393223 VRV393223 WBR393223 WLN393223 WVJ393223 B458694 IX458759 ST458759 ACP458759 AML458759 AWH458759 BGD458759 BPZ458759 BZV458759 CJR458759 CTN458759 DDJ458759 DNF458759 DXB458759 EGX458759 EQT458759 FAP458759 FKL458759 FUH458759 GED458759 GNZ458759 GXV458759 HHR458759 HRN458759 IBJ458759 ILF458759 IVB458759 JEX458759 JOT458759 JYP458759 KIL458759 KSH458759 LCD458759 LLZ458759 LVV458759 MFR458759 MPN458759 MZJ458759 NJF458759 NTB458759 OCX458759 OMT458759 OWP458759 PGL458759 PQH458759 QAD458759 QJZ458759 QTV458759 RDR458759 RNN458759 RXJ458759 SHF458759 SRB458759 TAX458759 TKT458759 TUP458759 UEL458759 UOH458759 UYD458759 VHZ458759 VRV458759 WBR458759 WLN458759 WVJ458759 B524230 IX524295 ST524295 ACP524295 AML524295 AWH524295 BGD524295 BPZ524295 BZV524295 CJR524295 CTN524295 DDJ524295 DNF524295 DXB524295 EGX524295 EQT524295 FAP524295 FKL524295 FUH524295 GED524295 GNZ524295 GXV524295 HHR524295 HRN524295 IBJ524295 ILF524295 IVB524295 JEX524295 JOT524295 JYP524295 KIL524295 KSH524295 LCD524295 LLZ524295 LVV524295 MFR524295 MPN524295 MZJ524295 NJF524295 NTB524295 OCX524295 OMT524295 OWP524295 PGL524295 PQH524295 QAD524295 QJZ524295 QTV524295 RDR524295 RNN524295 RXJ524295 SHF524295 SRB524295 TAX524295 TKT524295 TUP524295 UEL524295 UOH524295 UYD524295 VHZ524295 VRV524295 WBR524295 WLN524295 WVJ524295 B589766 IX589831 ST589831 ACP589831 AML589831 AWH589831 BGD589831 BPZ589831 BZV589831 CJR589831 CTN589831 DDJ589831 DNF589831 DXB589831 EGX589831 EQT589831 FAP589831 FKL589831 FUH589831 GED589831 GNZ589831 GXV589831 HHR589831 HRN589831 IBJ589831 ILF589831 IVB589831 JEX589831 JOT589831 JYP589831 KIL589831 KSH589831 LCD589831 LLZ589831 LVV589831 MFR589831 MPN589831 MZJ589831 NJF589831 NTB589831 OCX589831 OMT589831 OWP589831 PGL589831 PQH589831 QAD589831 QJZ589831 QTV589831 RDR589831 RNN589831 RXJ589831 SHF589831 SRB589831 TAX589831 TKT589831 TUP589831 UEL589831 UOH589831 UYD589831 VHZ589831 VRV589831 WBR589831 WLN589831 WVJ589831 B655302 IX655367 ST655367 ACP655367 AML655367 AWH655367 BGD655367 BPZ655367 BZV655367 CJR655367 CTN655367 DDJ655367 DNF655367 DXB655367 EGX655367 EQT655367 FAP655367 FKL655367 FUH655367 GED655367 GNZ655367 GXV655367 HHR655367 HRN655367 IBJ655367 ILF655367 IVB655367 JEX655367 JOT655367 JYP655367 KIL655367 KSH655367 LCD655367 LLZ655367 LVV655367 MFR655367 MPN655367 MZJ655367 NJF655367 NTB655367 OCX655367 OMT655367 OWP655367 PGL655367 PQH655367 QAD655367 QJZ655367 QTV655367 RDR655367 RNN655367 RXJ655367 SHF655367 SRB655367 TAX655367 TKT655367 TUP655367 UEL655367 UOH655367 UYD655367 VHZ655367 VRV655367 WBR655367 WLN655367 WVJ655367 B720838 IX720903 ST720903 ACP720903 AML720903 AWH720903 BGD720903 BPZ720903 BZV720903 CJR720903 CTN720903 DDJ720903 DNF720903 DXB720903 EGX720903 EQT720903 FAP720903 FKL720903 FUH720903 GED720903 GNZ720903 GXV720903 HHR720903 HRN720903 IBJ720903 ILF720903 IVB720903 JEX720903 JOT720903 JYP720903 KIL720903 KSH720903 LCD720903 LLZ720903 LVV720903 MFR720903 MPN720903 MZJ720903 NJF720903 NTB720903 OCX720903 OMT720903 OWP720903 PGL720903 PQH720903 QAD720903 QJZ720903 QTV720903 RDR720903 RNN720903 RXJ720903 SHF720903 SRB720903 TAX720903 TKT720903 TUP720903 UEL720903 UOH720903 UYD720903 VHZ720903 VRV720903 WBR720903 WLN720903 WVJ720903 B786374 IX786439 ST786439 ACP786439 AML786439 AWH786439 BGD786439 BPZ786439 BZV786439 CJR786439 CTN786439 DDJ786439 DNF786439 DXB786439 EGX786439 EQT786439 FAP786439 FKL786439 FUH786439 GED786439 GNZ786439 GXV786439 HHR786439 HRN786439 IBJ786439 ILF786439 IVB786439 JEX786439 JOT786439 JYP786439 KIL786439 KSH786439 LCD786439 LLZ786439 LVV786439 MFR786439 MPN786439 MZJ786439 NJF786439 NTB786439 OCX786439 OMT786439 OWP786439 PGL786439 PQH786439 QAD786439 QJZ786439 QTV786439 RDR786439 RNN786439 RXJ786439 SHF786439 SRB786439 TAX786439 TKT786439 TUP786439 UEL786439 UOH786439 UYD786439 VHZ786439 VRV786439 WBR786439 WLN786439 WVJ786439 B851910 IX851975 ST851975 ACP851975 AML851975 AWH851975 BGD851975 BPZ851975 BZV851975 CJR851975 CTN851975 DDJ851975 DNF851975 DXB851975 EGX851975 EQT851975 FAP851975 FKL851975 FUH851975 GED851975 GNZ851975 GXV851975 HHR851975 HRN851975 IBJ851975 ILF851975 IVB851975 JEX851975 JOT851975 JYP851975 KIL851975 KSH851975 LCD851975 LLZ851975 LVV851975 MFR851975 MPN851975 MZJ851975 NJF851975 NTB851975 OCX851975 OMT851975 OWP851975 PGL851975 PQH851975 QAD851975 QJZ851975 QTV851975 RDR851975 RNN851975 RXJ851975 SHF851975 SRB851975 TAX851975 TKT851975 TUP851975 UEL851975 UOH851975 UYD851975 VHZ851975 VRV851975 WBR851975 WLN851975 WVJ851975 B917446 IX917511 ST917511 ACP917511 AML917511 AWH917511 BGD917511 BPZ917511 BZV917511 CJR917511 CTN917511 DDJ917511 DNF917511 DXB917511 EGX917511 EQT917511 FAP917511 FKL917511 FUH917511 GED917511 GNZ917511 GXV917511 HHR917511 HRN917511 IBJ917511 ILF917511 IVB917511 JEX917511 JOT917511 JYP917511 KIL917511 KSH917511 LCD917511 LLZ917511 LVV917511 MFR917511 MPN917511 MZJ917511 NJF917511 NTB917511 OCX917511 OMT917511 OWP917511 PGL917511 PQH917511 QAD917511 QJZ917511 QTV917511 RDR917511 RNN917511 RXJ917511 SHF917511 SRB917511 TAX917511 TKT917511 TUP917511 UEL917511 UOH917511 UYD917511 VHZ917511 VRV917511 WBR917511 WLN917511 WVJ917511 B982982 IX983047 ST983047 ACP983047 AML983047 AWH983047 BGD983047 BPZ983047 BZV983047 CJR983047 CTN983047 DDJ983047 DNF983047 DXB983047 EGX983047 EQT983047 FAP983047 FKL983047 FUH983047 GED983047 GNZ983047 GXV983047 HHR983047 HRN983047 IBJ983047 ILF983047 IVB983047 JEX983047 JOT983047 JYP983047 KIL983047 KSH983047 LCD983047 LLZ983047 LVV983047 MFR983047 MPN983047 MZJ983047 NJF983047 NTB983047 OCX983047 OMT983047 OWP983047 PGL983047 PQH983047 QAD983047 QJZ983047 QTV983047 RDR983047 RNN983047 RXJ983047 SHF983047 SRB983047 TAX983047 TKT983047 TUP983047 UEL983047 UOH983047 UYD983047 VHZ983047 VRV983047 WBR983047 WLN983047" xr:uid="{A69BAB58-7B90-4F5A-AD25-28CDE3735717}">
      <formula1>$K$2:$K$126</formula1>
    </dataValidation>
    <dataValidation type="list" allowBlank="1" showInputMessage="1" showErrorMessage="1" sqref="B7" xr:uid="{75CF6663-37B5-40DB-B635-94FEADF447E9}">
      <formula1>$K$2:$K$187</formula1>
    </dataValidation>
    <dataValidation type="list" allowBlank="1" showInputMessage="1" showErrorMessage="1" sqref="B26" xr:uid="{24C55AC2-B850-480C-93D4-0855D664DCBF}">
      <formula1>$T$2:$T$137</formula1>
    </dataValidation>
  </dataValidations>
  <printOptions horizontalCentered="1"/>
  <pageMargins left="0.39370078740157483" right="0.39370078740157483" top="0.78740157480314965" bottom="0.78740157480314965" header="0.39370078740157483" footer="0.39370078740157483"/>
  <pageSetup paperSize="9" scale="55" fitToHeight="5" orientation="portrait" horizontalDpi="1200" verticalDpi="1200" r:id="rId1"/>
  <headerFooter alignWithMargins="0">
    <oddHeader>&amp;C&amp;"標楷體,標準"&amp;16智崴資訊側立式電動平台-電動缸計算</oddHeader>
  </headerFooter>
  <drawing r:id="rId2"/>
  <legacyDrawing r:id="rId3"/>
  <oleObjects>
    <mc:AlternateContent xmlns:mc="http://schemas.openxmlformats.org/markup-compatibility/2006">
      <mc:Choice Requires="x14">
        <oleObject progId="Equation.3" shapeId="2049" r:id="rId4">
          <objectPr defaultSize="0" autoPict="0" r:id="rId5">
            <anchor moveWithCells="1" sizeWithCells="1">
              <from>
                <xdr:col>0</xdr:col>
                <xdr:colOff>259080</xdr:colOff>
                <xdr:row>143</xdr:row>
                <xdr:rowOff>0</xdr:rowOff>
              </from>
              <to>
                <xdr:col>0</xdr:col>
                <xdr:colOff>693420</xdr:colOff>
                <xdr:row>143</xdr:row>
                <xdr:rowOff>0</xdr:rowOff>
              </to>
            </anchor>
          </objectPr>
        </oleObject>
      </mc:Choice>
      <mc:Fallback>
        <oleObject progId="Equation.3" shapeId="2049" r:id="rId4"/>
      </mc:Fallback>
    </mc:AlternateContent>
    <mc:AlternateContent xmlns:mc="http://schemas.openxmlformats.org/markup-compatibility/2006">
      <mc:Choice Requires="x14">
        <oleObject progId="Equation.3" shapeId="2050" r:id="rId6">
          <objectPr defaultSize="0" autoPict="0" r:id="rId7">
            <anchor moveWithCells="1" sizeWithCells="1">
              <from>
                <xdr:col>0</xdr:col>
                <xdr:colOff>60960</xdr:colOff>
                <xdr:row>130</xdr:row>
                <xdr:rowOff>114300</xdr:rowOff>
              </from>
              <to>
                <xdr:col>1</xdr:col>
                <xdr:colOff>510540</xdr:colOff>
                <xdr:row>131</xdr:row>
                <xdr:rowOff>106680</xdr:rowOff>
              </to>
            </anchor>
          </objectPr>
        </oleObject>
      </mc:Choice>
      <mc:Fallback>
        <oleObject progId="Equation.3" shapeId="2050" r:id="rId6"/>
      </mc:Fallback>
    </mc:AlternateContent>
    <mc:AlternateContent xmlns:mc="http://schemas.openxmlformats.org/markup-compatibility/2006">
      <mc:Choice Requires="x14">
        <oleObject progId="Equation.3" shapeId="2051" r:id="rId8">
          <objectPr defaultSize="0" autoPict="0" r:id="rId9">
            <anchor moveWithCells="1" sizeWithCells="1">
              <from>
                <xdr:col>0</xdr:col>
                <xdr:colOff>60960</xdr:colOff>
                <xdr:row>134</xdr:row>
                <xdr:rowOff>15240</xdr:rowOff>
              </from>
              <to>
                <xdr:col>1</xdr:col>
                <xdr:colOff>266700</xdr:colOff>
                <xdr:row>136</xdr:row>
                <xdr:rowOff>68580</xdr:rowOff>
              </to>
            </anchor>
          </objectPr>
        </oleObject>
      </mc:Choice>
      <mc:Fallback>
        <oleObject progId="Equation.3" shapeId="2051" r:id="rId8"/>
      </mc:Fallback>
    </mc:AlternateContent>
    <mc:AlternateContent xmlns:mc="http://schemas.openxmlformats.org/markup-compatibility/2006">
      <mc:Choice Requires="x14">
        <oleObject progId="Equation.3" shapeId="2052" r:id="rId10">
          <objectPr defaultSize="0" autoPict="0" r:id="rId11">
            <anchor moveWithCells="1" sizeWithCells="1">
              <from>
                <xdr:col>0</xdr:col>
                <xdr:colOff>22860</xdr:colOff>
                <xdr:row>146</xdr:row>
                <xdr:rowOff>15240</xdr:rowOff>
              </from>
              <to>
                <xdr:col>0</xdr:col>
                <xdr:colOff>594360</xdr:colOff>
                <xdr:row>148</xdr:row>
                <xdr:rowOff>7620</xdr:rowOff>
              </to>
            </anchor>
          </objectPr>
        </oleObject>
      </mc:Choice>
      <mc:Fallback>
        <oleObject progId="Equation.3" shapeId="2052" r:id="rId10"/>
      </mc:Fallback>
    </mc:AlternateContent>
    <mc:AlternateContent xmlns:mc="http://schemas.openxmlformats.org/markup-compatibility/2006">
      <mc:Choice Requires="x14">
        <oleObject progId="Equation.3" shapeId="2059" r:id="rId12">
          <objectPr defaultSize="0" autoPict="0" r:id="rId13">
            <anchor moveWithCells="1" sizeWithCells="1">
              <from>
                <xdr:col>0</xdr:col>
                <xdr:colOff>38100</xdr:colOff>
                <xdr:row>149</xdr:row>
                <xdr:rowOff>0</xdr:rowOff>
              </from>
              <to>
                <xdr:col>0</xdr:col>
                <xdr:colOff>678180</xdr:colOff>
                <xdr:row>149</xdr:row>
                <xdr:rowOff>15240</xdr:rowOff>
              </to>
            </anchor>
          </objectPr>
        </oleObject>
      </mc:Choice>
      <mc:Fallback>
        <oleObject progId="Equation.3" shapeId="2059" r:id="rId12"/>
      </mc:Fallback>
    </mc:AlternateContent>
    <mc:AlternateContent xmlns:mc="http://schemas.openxmlformats.org/markup-compatibility/2006">
      <mc:Choice Requires="x14">
        <oleObject progId="Equation.3" shapeId="2061" r:id="rId14">
          <objectPr defaultSize="0" autoPict="0" r:id="rId15">
            <anchor moveWithCells="1" sizeWithCells="1">
              <from>
                <xdr:col>0</xdr:col>
                <xdr:colOff>53340</xdr:colOff>
                <xdr:row>89</xdr:row>
                <xdr:rowOff>15240</xdr:rowOff>
              </from>
              <to>
                <xdr:col>0</xdr:col>
                <xdr:colOff>944880</xdr:colOff>
                <xdr:row>91</xdr:row>
                <xdr:rowOff>0</xdr:rowOff>
              </to>
            </anchor>
          </objectPr>
        </oleObject>
      </mc:Choice>
      <mc:Fallback>
        <oleObject progId="Equation.3" shapeId="2061" r:id="rId14"/>
      </mc:Fallback>
    </mc:AlternateContent>
    <mc:AlternateContent xmlns:mc="http://schemas.openxmlformats.org/markup-compatibility/2006">
      <mc:Choice Requires="x14">
        <oleObject progId="Equation.3" shapeId="2062" r:id="rId16">
          <objectPr defaultSize="0" autoPict="0" r:id="rId17">
            <anchor moveWithCells="1" sizeWithCells="1">
              <from>
                <xdr:col>0</xdr:col>
                <xdr:colOff>38100</xdr:colOff>
                <xdr:row>84</xdr:row>
                <xdr:rowOff>22860</xdr:rowOff>
              </from>
              <to>
                <xdr:col>0</xdr:col>
                <xdr:colOff>434340</xdr:colOff>
                <xdr:row>86</xdr:row>
                <xdr:rowOff>0</xdr:rowOff>
              </to>
            </anchor>
          </objectPr>
        </oleObject>
      </mc:Choice>
      <mc:Fallback>
        <oleObject progId="Equation.3" shapeId="2062" r:id="rId16"/>
      </mc:Fallback>
    </mc:AlternateContent>
    <mc:AlternateContent xmlns:mc="http://schemas.openxmlformats.org/markup-compatibility/2006">
      <mc:Choice Requires="x14">
        <oleObject progId="Equation.3" shapeId="2063" r:id="rId18">
          <objectPr defaultSize="0" autoPict="0" r:id="rId19">
            <anchor moveWithCells="1" sizeWithCells="1">
              <from>
                <xdr:col>0</xdr:col>
                <xdr:colOff>38100</xdr:colOff>
                <xdr:row>104</xdr:row>
                <xdr:rowOff>7620</xdr:rowOff>
              </from>
              <to>
                <xdr:col>0</xdr:col>
                <xdr:colOff>746760</xdr:colOff>
                <xdr:row>105</xdr:row>
                <xdr:rowOff>144780</xdr:rowOff>
              </to>
            </anchor>
          </objectPr>
        </oleObject>
      </mc:Choice>
      <mc:Fallback>
        <oleObject progId="Equation.3" shapeId="2063" r:id="rId18"/>
      </mc:Fallback>
    </mc:AlternateContent>
    <mc:AlternateContent xmlns:mc="http://schemas.openxmlformats.org/markup-compatibility/2006">
      <mc:Choice Requires="x14">
        <oleObject progId="Equation.3" shapeId="2064" r:id="rId20">
          <objectPr defaultSize="0" autoPict="0" r:id="rId21">
            <anchor moveWithCells="1" sizeWithCells="1">
              <from>
                <xdr:col>0</xdr:col>
                <xdr:colOff>22860</xdr:colOff>
                <xdr:row>102</xdr:row>
                <xdr:rowOff>15240</xdr:rowOff>
              </from>
              <to>
                <xdr:col>0</xdr:col>
                <xdr:colOff>655320</xdr:colOff>
                <xdr:row>103</xdr:row>
                <xdr:rowOff>160020</xdr:rowOff>
              </to>
            </anchor>
          </objectPr>
        </oleObject>
      </mc:Choice>
      <mc:Fallback>
        <oleObject progId="Equation.3" shapeId="2064" r:id="rId20"/>
      </mc:Fallback>
    </mc:AlternateContent>
    <mc:AlternateContent xmlns:mc="http://schemas.openxmlformats.org/markup-compatibility/2006">
      <mc:Choice Requires="x14">
        <oleObject progId="Equation.3" shapeId="2065" r:id="rId22">
          <objectPr defaultSize="0" autoPict="0" r:id="rId23">
            <anchor moveWithCells="1" sizeWithCells="1">
              <from>
                <xdr:col>3</xdr:col>
                <xdr:colOff>22860</xdr:colOff>
                <xdr:row>120</xdr:row>
                <xdr:rowOff>15240</xdr:rowOff>
              </from>
              <to>
                <xdr:col>4</xdr:col>
                <xdr:colOff>281940</xdr:colOff>
                <xdr:row>122</xdr:row>
                <xdr:rowOff>30480</xdr:rowOff>
              </to>
            </anchor>
          </objectPr>
        </oleObject>
      </mc:Choice>
      <mc:Fallback>
        <oleObject progId="Equation.3" shapeId="2065" r:id="rId22"/>
      </mc:Fallback>
    </mc:AlternateContent>
    <mc:AlternateContent xmlns:mc="http://schemas.openxmlformats.org/markup-compatibility/2006">
      <mc:Choice Requires="x14">
        <oleObject progId="Equation.3" shapeId="2066" r:id="rId24">
          <objectPr defaultSize="0" autoPict="0" r:id="rId25">
            <anchor moveWithCells="1" sizeWithCells="1">
              <from>
                <xdr:col>0</xdr:col>
                <xdr:colOff>22860</xdr:colOff>
                <xdr:row>58</xdr:row>
                <xdr:rowOff>15240</xdr:rowOff>
              </from>
              <to>
                <xdr:col>1</xdr:col>
                <xdr:colOff>327660</xdr:colOff>
                <xdr:row>60</xdr:row>
                <xdr:rowOff>15240</xdr:rowOff>
              </to>
            </anchor>
          </objectPr>
        </oleObject>
      </mc:Choice>
      <mc:Fallback>
        <oleObject progId="Equation.3" shapeId="2066" r:id="rId24"/>
      </mc:Fallback>
    </mc:AlternateContent>
    <mc:AlternateContent xmlns:mc="http://schemas.openxmlformats.org/markup-compatibility/2006">
      <mc:Choice Requires="x14">
        <oleObject progId="Equation.3" shapeId="2067" r:id="rId26">
          <objectPr defaultSize="0" autoPict="0" r:id="rId27">
            <anchor moveWithCells="1" sizeWithCells="1">
              <from>
                <xdr:col>0</xdr:col>
                <xdr:colOff>7620</xdr:colOff>
                <xdr:row>116</xdr:row>
                <xdr:rowOff>15240</xdr:rowOff>
              </from>
              <to>
                <xdr:col>1</xdr:col>
                <xdr:colOff>0</xdr:colOff>
                <xdr:row>117</xdr:row>
                <xdr:rowOff>144780</xdr:rowOff>
              </to>
            </anchor>
          </objectPr>
        </oleObject>
      </mc:Choice>
      <mc:Fallback>
        <oleObject progId="Equation.3" shapeId="2067" r:id="rId26"/>
      </mc:Fallback>
    </mc:AlternateContent>
    <mc:AlternateContent xmlns:mc="http://schemas.openxmlformats.org/markup-compatibility/2006">
      <mc:Choice Requires="x14">
        <oleObject progId="Equation.3" shapeId="2068" r:id="rId28">
          <objectPr defaultSize="0" autoPict="0" r:id="rId29">
            <anchor moveWithCells="1" sizeWithCells="1">
              <from>
                <xdr:col>0</xdr:col>
                <xdr:colOff>7620</xdr:colOff>
                <xdr:row>120</xdr:row>
                <xdr:rowOff>15240</xdr:rowOff>
              </from>
              <to>
                <xdr:col>1</xdr:col>
                <xdr:colOff>861060</xdr:colOff>
                <xdr:row>122</xdr:row>
                <xdr:rowOff>22860</xdr:rowOff>
              </to>
            </anchor>
          </objectPr>
        </oleObject>
      </mc:Choice>
      <mc:Fallback>
        <oleObject progId="Equation.3" shapeId="2068" r:id="rId28"/>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2DA36-B55B-47E1-B644-4BDC8C8FBAC5}">
  <dimension ref="A1:G24"/>
  <sheetViews>
    <sheetView zoomScale="190" zoomScaleNormal="190" workbookViewId="0">
      <selection activeCell="D14" sqref="D14"/>
    </sheetView>
  </sheetViews>
  <sheetFormatPr defaultColWidth="8.77734375" defaultRowHeight="15" x14ac:dyDescent="0.25"/>
  <cols>
    <col min="1" max="1" width="27.21875" style="2" bestFit="1" customWidth="1"/>
    <col min="2" max="2" width="9.77734375" style="2" bestFit="1" customWidth="1"/>
    <col min="3" max="3" width="10.6640625" style="2" bestFit="1" customWidth="1"/>
    <col min="4" max="4" width="11.6640625" style="2" bestFit="1" customWidth="1"/>
    <col min="5" max="16384" width="8.77734375" style="2"/>
  </cols>
  <sheetData>
    <row r="1" spans="1:5" ht="18.600000000000001" x14ac:dyDescent="0.4">
      <c r="A1" s="1" t="s">
        <v>11</v>
      </c>
      <c r="B1" s="63">
        <f>+'o-Ride E_500'!B2</f>
        <v>500</v>
      </c>
      <c r="C1" s="2" t="s">
        <v>40</v>
      </c>
      <c r="D1" s="60">
        <f>+ROUND(B1*9.81,2)</f>
        <v>4905</v>
      </c>
      <c r="E1" s="2" t="s">
        <v>0</v>
      </c>
    </row>
    <row r="2" spans="1:5" ht="16.2" x14ac:dyDescent="0.3">
      <c r="A2" s="2" t="s">
        <v>7</v>
      </c>
      <c r="B2" s="6">
        <v>0.9</v>
      </c>
    </row>
    <row r="3" spans="1:5" ht="16.2" x14ac:dyDescent="0.3">
      <c r="A3" s="1" t="s">
        <v>273</v>
      </c>
      <c r="B3" s="2">
        <f>ROUND(B1/B2,2)</f>
        <v>555.55999999999995</v>
      </c>
      <c r="C3" s="2" t="s">
        <v>40</v>
      </c>
      <c r="D3" s="60">
        <f>+ROUND(B3*9.81,2)</f>
        <v>5450.04</v>
      </c>
      <c r="E3" s="2" t="s">
        <v>0</v>
      </c>
    </row>
    <row r="4" spans="1:5" ht="18.600000000000001" x14ac:dyDescent="0.4">
      <c r="A4" s="5" t="s">
        <v>12</v>
      </c>
      <c r="B4" s="60">
        <f>+'o-Ride E_500'!B9</f>
        <v>10</v>
      </c>
      <c r="C4" s="2" t="s">
        <v>19</v>
      </c>
      <c r="D4" s="2">
        <f>+B4/1000</f>
        <v>0.01</v>
      </c>
      <c r="E4" s="2" t="s">
        <v>4</v>
      </c>
    </row>
    <row r="5" spans="1:5" ht="18.600000000000001" x14ac:dyDescent="0.4">
      <c r="A5" s="2" t="s">
        <v>272</v>
      </c>
      <c r="B5" s="60">
        <f>+ROUND(B1*D4/(2*PI()*B2),2)</f>
        <v>0.88</v>
      </c>
      <c r="C5" s="2" t="s">
        <v>271</v>
      </c>
      <c r="D5" s="60">
        <f>+ROUND(D1*D4/(2*PI()*B2),2)</f>
        <v>8.67</v>
      </c>
      <c r="E5" s="2" t="s">
        <v>13</v>
      </c>
    </row>
    <row r="6" spans="1:5" x14ac:dyDescent="0.25">
      <c r="B6" s="60"/>
      <c r="D6" s="60"/>
    </row>
    <row r="7" spans="1:5" x14ac:dyDescent="0.25">
      <c r="B7" s="60"/>
      <c r="D7" s="60"/>
    </row>
    <row r="8" spans="1:5" ht="18.600000000000001" x14ac:dyDescent="0.4">
      <c r="A8" s="57" t="s">
        <v>8</v>
      </c>
      <c r="B8" s="6">
        <v>0.95</v>
      </c>
    </row>
    <row r="9" spans="1:5" s="3" customFormat="1" ht="18.600000000000001" x14ac:dyDescent="0.4">
      <c r="A9" s="3" t="s">
        <v>270</v>
      </c>
      <c r="B9" s="62">
        <f>+'o-Ride E_500'!B40</f>
        <v>32</v>
      </c>
    </row>
    <row r="10" spans="1:5" s="3" customFormat="1" ht="18.600000000000001" x14ac:dyDescent="0.4">
      <c r="A10" s="3" t="s">
        <v>269</v>
      </c>
      <c r="B10" s="62">
        <f>+'o-Ride E_500'!B46</f>
        <v>48</v>
      </c>
      <c r="D10" s="61"/>
    </row>
    <row r="11" spans="1:5" ht="16.2" x14ac:dyDescent="0.3">
      <c r="A11" s="5" t="s">
        <v>281</v>
      </c>
      <c r="B11" s="60">
        <f>+B10/B9</f>
        <v>1.5</v>
      </c>
    </row>
    <row r="12" spans="1:5" x14ac:dyDescent="0.25">
      <c r="B12" s="60"/>
    </row>
    <row r="13" spans="1:5" x14ac:dyDescent="0.25">
      <c r="B13" s="60"/>
    </row>
    <row r="14" spans="1:5" ht="18.600000000000001" x14ac:dyDescent="0.4">
      <c r="A14" s="2" t="s">
        <v>268</v>
      </c>
      <c r="B14" s="58">
        <f>+D5/(B11*B8)</f>
        <v>6.0842105263157906</v>
      </c>
      <c r="C14" s="2" t="s">
        <v>13</v>
      </c>
      <c r="D14" s="59">
        <f>+(D1*D4)/(2*PI()*B2*B11*B8)</f>
        <v>6.0869785252689805</v>
      </c>
      <c r="E14" s="2" t="s">
        <v>13</v>
      </c>
    </row>
    <row r="15" spans="1:5" x14ac:dyDescent="0.25">
      <c r="B15" s="58"/>
      <c r="D15" s="59"/>
    </row>
    <row r="17" spans="1:7" x14ac:dyDescent="0.25">
      <c r="E17" s="58"/>
    </row>
    <row r="19" spans="1:7" ht="16.2" x14ac:dyDescent="0.3">
      <c r="E19"/>
      <c r="G19"/>
    </row>
    <row r="24" spans="1:7" x14ac:dyDescent="0.25">
      <c r="A24" s="57"/>
    </row>
  </sheetData>
  <phoneticPr fontId="6" type="noConversion"/>
  <pageMargins left="0.7" right="0.7" top="0.75" bottom="0.75" header="0.3" footer="0.3"/>
  <pageSetup paperSize="9"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6716A-E546-4C9A-8577-1A2999172A05}">
  <dimension ref="A1:H18"/>
  <sheetViews>
    <sheetView zoomScale="175" zoomScaleNormal="175" workbookViewId="0">
      <selection activeCell="B1" sqref="B1"/>
    </sheetView>
  </sheetViews>
  <sheetFormatPr defaultColWidth="8.77734375" defaultRowHeight="15" x14ac:dyDescent="0.25"/>
  <cols>
    <col min="1" max="1" width="28.109375" style="3" customWidth="1"/>
    <col min="2" max="2" width="13.44140625" style="3" bestFit="1" customWidth="1"/>
    <col min="3" max="3" width="8.77734375" style="3"/>
    <col min="4" max="4" width="10.44140625" style="3" bestFit="1" customWidth="1"/>
    <col min="5" max="5" width="13.44140625" style="3" bestFit="1" customWidth="1"/>
    <col min="6" max="6" width="9.77734375" style="3" bestFit="1" customWidth="1"/>
    <col min="7" max="7" width="11.6640625" style="3" bestFit="1" customWidth="1"/>
    <col min="8" max="16384" width="8.77734375" style="3"/>
  </cols>
  <sheetData>
    <row r="1" spans="1:8" ht="18.600000000000001" x14ac:dyDescent="0.4">
      <c r="A1" s="5" t="s">
        <v>278</v>
      </c>
      <c r="B1" s="59">
        <f>+'o-Ride E_500'!B29</f>
        <v>6.4</v>
      </c>
      <c r="C1" s="3" t="s">
        <v>1</v>
      </c>
    </row>
    <row r="2" spans="1:8" ht="18.600000000000001" x14ac:dyDescent="0.4">
      <c r="A2" s="3" t="s">
        <v>270</v>
      </c>
      <c r="B2" s="3">
        <f>+'o-Ride E_500'!B40</f>
        <v>32</v>
      </c>
    </row>
    <row r="3" spans="1:8" ht="18.600000000000001" x14ac:dyDescent="0.4">
      <c r="A3" s="3" t="s">
        <v>269</v>
      </c>
      <c r="B3" s="3">
        <f>+'o-Ride E_500'!B46</f>
        <v>48</v>
      </c>
    </row>
    <row r="4" spans="1:8" s="2" customFormat="1" ht="16.2" x14ac:dyDescent="0.3">
      <c r="A4" s="5" t="s">
        <v>281</v>
      </c>
      <c r="B4" s="60">
        <f>+B3/B2</f>
        <v>1.5</v>
      </c>
    </row>
    <row r="5" spans="1:8" s="2" customFormat="1" x14ac:dyDescent="0.25">
      <c r="B5" s="60"/>
    </row>
    <row r="6" spans="1:8" s="2" customFormat="1" x14ac:dyDescent="0.25">
      <c r="B6" s="60"/>
    </row>
    <row r="7" spans="1:8" ht="18.600000000000001" x14ac:dyDescent="0.4">
      <c r="A7" s="57" t="s">
        <v>276</v>
      </c>
      <c r="B7" s="65">
        <v>0.95</v>
      </c>
    </row>
    <row r="8" spans="1:8" s="2" customFormat="1" ht="18.600000000000001" x14ac:dyDescent="0.4">
      <c r="A8" s="5" t="s">
        <v>10</v>
      </c>
      <c r="B8" s="60">
        <f>+ROUND(B1*B4*B7,2)</f>
        <v>9.1199999999999992</v>
      </c>
      <c r="C8" s="2" t="s">
        <v>13</v>
      </c>
      <c r="D8" s="60"/>
    </row>
    <row r="9" spans="1:8" s="2" customFormat="1" x14ac:dyDescent="0.25">
      <c r="B9" s="60"/>
      <c r="D9" s="60"/>
    </row>
    <row r="10" spans="1:8" s="2" customFormat="1" x14ac:dyDescent="0.25">
      <c r="B10" s="60"/>
      <c r="D10" s="60"/>
    </row>
    <row r="11" spans="1:8" ht="18.600000000000001" x14ac:dyDescent="0.4">
      <c r="A11" s="3" t="s">
        <v>275</v>
      </c>
      <c r="B11" s="3">
        <f>'o-Ride E_500'!B9/1000</f>
        <v>0.01</v>
      </c>
      <c r="C11" s="3" t="s">
        <v>4</v>
      </c>
    </row>
    <row r="12" spans="1:8" s="2" customFormat="1" ht="16.2" x14ac:dyDescent="0.3">
      <c r="A12" s="1" t="s">
        <v>274</v>
      </c>
      <c r="B12" s="6">
        <v>0.9</v>
      </c>
    </row>
    <row r="13" spans="1:8" ht="18.600000000000001" x14ac:dyDescent="0.4">
      <c r="A13" s="1" t="s">
        <v>11</v>
      </c>
      <c r="B13" s="64">
        <f>ROUND(2*PI()*B12*B8/B11,2)</f>
        <v>5157.24</v>
      </c>
      <c r="C13" s="3" t="s">
        <v>0</v>
      </c>
      <c r="D13" s="3">
        <f>+ROUND(B13/9.81,2)</f>
        <v>525.71</v>
      </c>
      <c r="E13" s="64" t="s">
        <v>40</v>
      </c>
      <c r="G13" s="59">
        <f>ROUND(2*PI()*B12*B1*B4*B7/B11,2)</f>
        <v>5157.24</v>
      </c>
      <c r="H13" s="3" t="s">
        <v>0</v>
      </c>
    </row>
    <row r="18" spans="5:5" x14ac:dyDescent="0.25">
      <c r="E18" s="59"/>
    </row>
  </sheetData>
  <phoneticPr fontId="6" type="noConversion"/>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4D46B-2934-4243-A2FA-13A7DD8E2F80}">
  <dimension ref="A1:C12"/>
  <sheetViews>
    <sheetView topLeftCell="A13" zoomScale="190" zoomScaleNormal="190" workbookViewId="0">
      <selection activeCell="A9" sqref="A9"/>
    </sheetView>
  </sheetViews>
  <sheetFormatPr defaultRowHeight="16.2" x14ac:dyDescent="0.3"/>
  <cols>
    <col min="1" max="1" width="27.21875" bestFit="1" customWidth="1"/>
    <col min="2" max="2" width="6.44140625" bestFit="1" customWidth="1"/>
    <col min="257" max="257" width="27.21875" bestFit="1" customWidth="1"/>
    <col min="258" max="258" width="6.44140625" bestFit="1" customWidth="1"/>
    <col min="513" max="513" width="27.21875" bestFit="1" customWidth="1"/>
    <col min="514" max="514" width="6.44140625" bestFit="1" customWidth="1"/>
    <col min="769" max="769" width="27.21875" bestFit="1" customWidth="1"/>
    <col min="770" max="770" width="6.44140625" bestFit="1" customWidth="1"/>
    <col min="1025" max="1025" width="27.21875" bestFit="1" customWidth="1"/>
    <col min="1026" max="1026" width="6.44140625" bestFit="1" customWidth="1"/>
    <col min="1281" max="1281" width="27.21875" bestFit="1" customWidth="1"/>
    <col min="1282" max="1282" width="6.44140625" bestFit="1" customWidth="1"/>
    <col min="1537" max="1537" width="27.21875" bestFit="1" customWidth="1"/>
    <col min="1538" max="1538" width="6.44140625" bestFit="1" customWidth="1"/>
    <col min="1793" max="1793" width="27.21875" bestFit="1" customWidth="1"/>
    <col min="1794" max="1794" width="6.44140625" bestFit="1" customWidth="1"/>
    <col min="2049" max="2049" width="27.21875" bestFit="1" customWidth="1"/>
    <col min="2050" max="2050" width="6.44140625" bestFit="1" customWidth="1"/>
    <col min="2305" max="2305" width="27.21875" bestFit="1" customWidth="1"/>
    <col min="2306" max="2306" width="6.44140625" bestFit="1" customWidth="1"/>
    <col min="2561" max="2561" width="27.21875" bestFit="1" customWidth="1"/>
    <col min="2562" max="2562" width="6.44140625" bestFit="1" customWidth="1"/>
    <col min="2817" max="2817" width="27.21875" bestFit="1" customWidth="1"/>
    <col min="2818" max="2818" width="6.44140625" bestFit="1" customWidth="1"/>
    <col min="3073" max="3073" width="27.21875" bestFit="1" customWidth="1"/>
    <col min="3074" max="3074" width="6.44140625" bestFit="1" customWidth="1"/>
    <col min="3329" max="3329" width="27.21875" bestFit="1" customWidth="1"/>
    <col min="3330" max="3330" width="6.44140625" bestFit="1" customWidth="1"/>
    <col min="3585" max="3585" width="27.21875" bestFit="1" customWidth="1"/>
    <col min="3586" max="3586" width="6.44140625" bestFit="1" customWidth="1"/>
    <col min="3841" max="3841" width="27.21875" bestFit="1" customWidth="1"/>
    <col min="3842" max="3842" width="6.44140625" bestFit="1" customWidth="1"/>
    <col min="4097" max="4097" width="27.21875" bestFit="1" customWidth="1"/>
    <col min="4098" max="4098" width="6.44140625" bestFit="1" customWidth="1"/>
    <col min="4353" max="4353" width="27.21875" bestFit="1" customWidth="1"/>
    <col min="4354" max="4354" width="6.44140625" bestFit="1" customWidth="1"/>
    <col min="4609" max="4609" width="27.21875" bestFit="1" customWidth="1"/>
    <col min="4610" max="4610" width="6.44140625" bestFit="1" customWidth="1"/>
    <col min="4865" max="4865" width="27.21875" bestFit="1" customWidth="1"/>
    <col min="4866" max="4866" width="6.44140625" bestFit="1" customWidth="1"/>
    <col min="5121" max="5121" width="27.21875" bestFit="1" customWidth="1"/>
    <col min="5122" max="5122" width="6.44140625" bestFit="1" customWidth="1"/>
    <col min="5377" max="5377" width="27.21875" bestFit="1" customWidth="1"/>
    <col min="5378" max="5378" width="6.44140625" bestFit="1" customWidth="1"/>
    <col min="5633" max="5633" width="27.21875" bestFit="1" customWidth="1"/>
    <col min="5634" max="5634" width="6.44140625" bestFit="1" customWidth="1"/>
    <col min="5889" max="5889" width="27.21875" bestFit="1" customWidth="1"/>
    <col min="5890" max="5890" width="6.44140625" bestFit="1" customWidth="1"/>
    <col min="6145" max="6145" width="27.21875" bestFit="1" customWidth="1"/>
    <col min="6146" max="6146" width="6.44140625" bestFit="1" customWidth="1"/>
    <col min="6401" max="6401" width="27.21875" bestFit="1" customWidth="1"/>
    <col min="6402" max="6402" width="6.44140625" bestFit="1" customWidth="1"/>
    <col min="6657" max="6657" width="27.21875" bestFit="1" customWidth="1"/>
    <col min="6658" max="6658" width="6.44140625" bestFit="1" customWidth="1"/>
    <col min="6913" max="6913" width="27.21875" bestFit="1" customWidth="1"/>
    <col min="6914" max="6914" width="6.44140625" bestFit="1" customWidth="1"/>
    <col min="7169" max="7169" width="27.21875" bestFit="1" customWidth="1"/>
    <col min="7170" max="7170" width="6.44140625" bestFit="1" customWidth="1"/>
    <col min="7425" max="7425" width="27.21875" bestFit="1" customWidth="1"/>
    <col min="7426" max="7426" width="6.44140625" bestFit="1" customWidth="1"/>
    <col min="7681" max="7681" width="27.21875" bestFit="1" customWidth="1"/>
    <col min="7682" max="7682" width="6.44140625" bestFit="1" customWidth="1"/>
    <col min="7937" max="7937" width="27.21875" bestFit="1" customWidth="1"/>
    <col min="7938" max="7938" width="6.44140625" bestFit="1" customWidth="1"/>
    <col min="8193" max="8193" width="27.21875" bestFit="1" customWidth="1"/>
    <col min="8194" max="8194" width="6.44140625" bestFit="1" customWidth="1"/>
    <col min="8449" max="8449" width="27.21875" bestFit="1" customWidth="1"/>
    <col min="8450" max="8450" width="6.44140625" bestFit="1" customWidth="1"/>
    <col min="8705" max="8705" width="27.21875" bestFit="1" customWidth="1"/>
    <col min="8706" max="8706" width="6.44140625" bestFit="1" customWidth="1"/>
    <col min="8961" max="8961" width="27.21875" bestFit="1" customWidth="1"/>
    <col min="8962" max="8962" width="6.44140625" bestFit="1" customWidth="1"/>
    <col min="9217" max="9217" width="27.21875" bestFit="1" customWidth="1"/>
    <col min="9218" max="9218" width="6.44140625" bestFit="1" customWidth="1"/>
    <col min="9473" max="9473" width="27.21875" bestFit="1" customWidth="1"/>
    <col min="9474" max="9474" width="6.44140625" bestFit="1" customWidth="1"/>
    <col min="9729" max="9729" width="27.21875" bestFit="1" customWidth="1"/>
    <col min="9730" max="9730" width="6.44140625" bestFit="1" customWidth="1"/>
    <col min="9985" max="9985" width="27.21875" bestFit="1" customWidth="1"/>
    <col min="9986" max="9986" width="6.44140625" bestFit="1" customWidth="1"/>
    <col min="10241" max="10241" width="27.21875" bestFit="1" customWidth="1"/>
    <col min="10242" max="10242" width="6.44140625" bestFit="1" customWidth="1"/>
    <col min="10497" max="10497" width="27.21875" bestFit="1" customWidth="1"/>
    <col min="10498" max="10498" width="6.44140625" bestFit="1" customWidth="1"/>
    <col min="10753" max="10753" width="27.21875" bestFit="1" customWidth="1"/>
    <col min="10754" max="10754" width="6.44140625" bestFit="1" customWidth="1"/>
    <col min="11009" max="11009" width="27.21875" bestFit="1" customWidth="1"/>
    <col min="11010" max="11010" width="6.44140625" bestFit="1" customWidth="1"/>
    <col min="11265" max="11265" width="27.21875" bestFit="1" customWidth="1"/>
    <col min="11266" max="11266" width="6.44140625" bestFit="1" customWidth="1"/>
    <col min="11521" max="11521" width="27.21875" bestFit="1" customWidth="1"/>
    <col min="11522" max="11522" width="6.44140625" bestFit="1" customWidth="1"/>
    <col min="11777" max="11777" width="27.21875" bestFit="1" customWidth="1"/>
    <col min="11778" max="11778" width="6.44140625" bestFit="1" customWidth="1"/>
    <col min="12033" max="12033" width="27.21875" bestFit="1" customWidth="1"/>
    <col min="12034" max="12034" width="6.44140625" bestFit="1" customWidth="1"/>
    <col min="12289" max="12289" width="27.21875" bestFit="1" customWidth="1"/>
    <col min="12290" max="12290" width="6.44140625" bestFit="1" customWidth="1"/>
    <col min="12545" max="12545" width="27.21875" bestFit="1" customWidth="1"/>
    <col min="12546" max="12546" width="6.44140625" bestFit="1" customWidth="1"/>
    <col min="12801" max="12801" width="27.21875" bestFit="1" customWidth="1"/>
    <col min="12802" max="12802" width="6.44140625" bestFit="1" customWidth="1"/>
    <col min="13057" max="13057" width="27.21875" bestFit="1" customWidth="1"/>
    <col min="13058" max="13058" width="6.44140625" bestFit="1" customWidth="1"/>
    <col min="13313" max="13313" width="27.21875" bestFit="1" customWidth="1"/>
    <col min="13314" max="13314" width="6.44140625" bestFit="1" customWidth="1"/>
    <col min="13569" max="13569" width="27.21875" bestFit="1" customWidth="1"/>
    <col min="13570" max="13570" width="6.44140625" bestFit="1" customWidth="1"/>
    <col min="13825" max="13825" width="27.21875" bestFit="1" customWidth="1"/>
    <col min="13826" max="13826" width="6.44140625" bestFit="1" customWidth="1"/>
    <col min="14081" max="14081" width="27.21875" bestFit="1" customWidth="1"/>
    <col min="14082" max="14082" width="6.44140625" bestFit="1" customWidth="1"/>
    <col min="14337" max="14337" width="27.21875" bestFit="1" customWidth="1"/>
    <col min="14338" max="14338" width="6.44140625" bestFit="1" customWidth="1"/>
    <col min="14593" max="14593" width="27.21875" bestFit="1" customWidth="1"/>
    <col min="14594" max="14594" width="6.44140625" bestFit="1" customWidth="1"/>
    <col min="14849" max="14849" width="27.21875" bestFit="1" customWidth="1"/>
    <col min="14850" max="14850" width="6.44140625" bestFit="1" customWidth="1"/>
    <col min="15105" max="15105" width="27.21875" bestFit="1" customWidth="1"/>
    <col min="15106" max="15106" width="6.44140625" bestFit="1" customWidth="1"/>
    <col min="15361" max="15361" width="27.21875" bestFit="1" customWidth="1"/>
    <col min="15362" max="15362" width="6.44140625" bestFit="1" customWidth="1"/>
    <col min="15617" max="15617" width="27.21875" bestFit="1" customWidth="1"/>
    <col min="15618" max="15618" width="6.44140625" bestFit="1" customWidth="1"/>
    <col min="15873" max="15873" width="27.21875" bestFit="1" customWidth="1"/>
    <col min="15874" max="15874" width="6.44140625" bestFit="1" customWidth="1"/>
    <col min="16129" max="16129" width="27.21875" bestFit="1" customWidth="1"/>
    <col min="16130" max="16130" width="6.44140625" bestFit="1" customWidth="1"/>
  </cols>
  <sheetData>
    <row r="1" spans="1:3" ht="18.600000000000001" x14ac:dyDescent="0.4">
      <c r="A1" s="1" t="s">
        <v>11</v>
      </c>
      <c r="B1" s="2" t="s">
        <v>0</v>
      </c>
    </row>
    <row r="2" spans="1:3" ht="18.600000000000001" x14ac:dyDescent="0.4">
      <c r="A2" s="5" t="s">
        <v>278</v>
      </c>
      <c r="B2" s="2" t="s">
        <v>1</v>
      </c>
    </row>
    <row r="3" spans="1:3" ht="18.600000000000001" x14ac:dyDescent="0.4">
      <c r="A3" s="5" t="s">
        <v>10</v>
      </c>
      <c r="B3" s="2" t="s">
        <v>1</v>
      </c>
    </row>
    <row r="4" spans="1:3" ht="18.600000000000001" x14ac:dyDescent="0.4">
      <c r="A4" s="5" t="s">
        <v>277</v>
      </c>
      <c r="B4" s="2" t="s">
        <v>2</v>
      </c>
    </row>
    <row r="5" spans="1:3" ht="18.600000000000001" x14ac:dyDescent="0.4">
      <c r="A5" s="8" t="s">
        <v>9</v>
      </c>
      <c r="B5" s="3" t="s">
        <v>3</v>
      </c>
    </row>
    <row r="6" spans="1:3" ht="18.600000000000001" x14ac:dyDescent="0.4">
      <c r="A6" s="5" t="s">
        <v>12</v>
      </c>
      <c r="B6" s="2" t="s">
        <v>4</v>
      </c>
    </row>
    <row r="7" spans="1:3" ht="18.600000000000001" x14ac:dyDescent="0.3">
      <c r="A7" s="4" t="s">
        <v>5</v>
      </c>
      <c r="B7" s="4"/>
    </row>
    <row r="8" spans="1:3" ht="18.600000000000001" x14ac:dyDescent="0.3">
      <c r="A8" s="4" t="s">
        <v>6</v>
      </c>
      <c r="B8" s="4"/>
    </row>
    <row r="9" spans="1:3" x14ac:dyDescent="0.3">
      <c r="A9" s="5" t="s">
        <v>281</v>
      </c>
      <c r="B9" s="5"/>
    </row>
    <row r="10" spans="1:3" x14ac:dyDescent="0.3">
      <c r="A10" s="5" t="s">
        <v>7</v>
      </c>
      <c r="B10" s="6">
        <v>0.8</v>
      </c>
    </row>
    <row r="11" spans="1:3" ht="18.600000000000001" x14ac:dyDescent="0.4">
      <c r="A11" s="7" t="s">
        <v>8</v>
      </c>
      <c r="B11" s="6">
        <v>0.95</v>
      </c>
    </row>
    <row r="12" spans="1:3" x14ac:dyDescent="0.3">
      <c r="C12" s="6"/>
    </row>
  </sheetData>
  <phoneticPr fontId="6"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具名範圍</vt:lpstr>
      </vt:variant>
      <vt:variant>
        <vt:i4>2</vt:i4>
      </vt:variant>
    </vt:vector>
  </HeadingPairs>
  <TitlesOfParts>
    <vt:vector size="9" baseType="lpstr">
      <vt:lpstr>o-Ride E_730</vt:lpstr>
      <vt:lpstr>扭力_730</vt:lpstr>
      <vt:lpstr>出力_730</vt:lpstr>
      <vt:lpstr>o-Ride E_500</vt:lpstr>
      <vt:lpstr>扭力_500</vt:lpstr>
      <vt:lpstr>出力_500</vt:lpstr>
      <vt:lpstr>計算公式</vt:lpstr>
      <vt:lpstr>'o-Ride E_500'!Print_Area</vt:lpstr>
      <vt:lpstr>'o-Ride E_730'!Print_Area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黃致中</dc:creator>
  <cp:lastModifiedBy>jason 黃致中</cp:lastModifiedBy>
  <dcterms:created xsi:type="dcterms:W3CDTF">2025-06-19T09:01:02Z</dcterms:created>
  <dcterms:modified xsi:type="dcterms:W3CDTF">2025-09-28T05:18:17Z</dcterms:modified>
</cp:coreProperties>
</file>