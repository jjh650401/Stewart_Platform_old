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ython_Programs\Stewart_Platform\"/>
    </mc:Choice>
  </mc:AlternateContent>
  <xr:revisionPtr revIDLastSave="0" documentId="13_ncr:1_{5C08F324-07AB-47C0-A7CF-06802F0CEB88}" xr6:coauthVersionLast="47" xr6:coauthVersionMax="47" xr10:uidLastSave="{00000000-0000-0000-0000-000000000000}"/>
  <bookViews>
    <workbookView xWindow="-108" yWindow="-108" windowWidth="23256" windowHeight="13896" xr2:uid="{C6BFDBA7-306C-41D7-82BB-977D128D5E06}"/>
  </bookViews>
  <sheets>
    <sheet name="o-Ride E_730" sheetId="5" r:id="rId1"/>
    <sheet name="扭力_730" sheetId="6" r:id="rId2"/>
    <sheet name="出力_730" sheetId="7" r:id="rId3"/>
    <sheet name="o-Ride E_500" sheetId="2" r:id="rId4"/>
    <sheet name="扭力_500" sheetId="3" r:id="rId5"/>
    <sheet name="出力_500" sheetId="4" r:id="rId6"/>
    <sheet name="計算公式" sheetId="1" r:id="rId7"/>
  </sheets>
  <definedNames>
    <definedName name="_xlnm._FilterDatabase" localSheetId="3" hidden="1">'o-Ride E_500'!$K$2:$S$74</definedName>
    <definedName name="_xlnm._FilterDatabase" localSheetId="0" hidden="1">'o-Ride E_730'!$K$2:$S$74</definedName>
    <definedName name="_xlnm.Print_Area" localSheetId="3">'o-Ride E_500'!$A$1:$I$149</definedName>
    <definedName name="_xlnm.Print_Area" localSheetId="0">'o-Ride E_730'!$A$1:$I$151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6" i="5" l="1"/>
  <c r="B127" i="5"/>
  <c r="F24" i="5"/>
  <c r="G81" i="5"/>
  <c r="B37" i="2"/>
  <c r="B36" i="2"/>
  <c r="B35" i="2"/>
  <c r="B34" i="2"/>
  <c r="B33" i="2"/>
  <c r="B32" i="2"/>
  <c r="B31" i="2"/>
  <c r="B30" i="2"/>
  <c r="B29" i="2"/>
  <c r="B27" i="2"/>
  <c r="B28" i="2"/>
  <c r="B37" i="5"/>
  <c r="B36" i="5"/>
  <c r="B35" i="5"/>
  <c r="B34" i="5"/>
  <c r="B33" i="5"/>
  <c r="B32" i="5"/>
  <c r="B31" i="5"/>
  <c r="B30" i="5"/>
  <c r="B29" i="5"/>
  <c r="B28" i="5"/>
  <c r="B27" i="5"/>
  <c r="AE5" i="2"/>
  <c r="AE4" i="2"/>
  <c r="AE3" i="2"/>
  <c r="AE2" i="2"/>
  <c r="AE5" i="5"/>
  <c r="AE4" i="5"/>
  <c r="AE3" i="5"/>
  <c r="AE2" i="5"/>
  <c r="B1" i="6" l="1"/>
  <c r="B110" i="5"/>
  <c r="B109" i="5"/>
  <c r="G82" i="5"/>
  <c r="F82" i="5" s="1"/>
  <c r="F81" i="5"/>
  <c r="F80" i="5"/>
  <c r="F79" i="5"/>
  <c r="F78" i="5"/>
  <c r="F77" i="5"/>
  <c r="F76" i="5"/>
  <c r="F75" i="5"/>
  <c r="E75" i="5" s="1"/>
  <c r="B71" i="5"/>
  <c r="D148" i="5" s="1"/>
  <c r="D55" i="5"/>
  <c r="B49" i="5"/>
  <c r="B48" i="5"/>
  <c r="B47" i="5"/>
  <c r="B46" i="5"/>
  <c r="B10" i="6" s="1"/>
  <c r="B43" i="5"/>
  <c r="B42" i="5"/>
  <c r="B41" i="5"/>
  <c r="B40" i="5"/>
  <c r="B2" i="7" s="1"/>
  <c r="B1" i="7"/>
  <c r="B76" i="5"/>
  <c r="B75" i="5" s="1"/>
  <c r="B77" i="5" s="1"/>
  <c r="D24" i="5"/>
  <c r="D17" i="5"/>
  <c r="B13" i="5"/>
  <c r="B14" i="5" s="1"/>
  <c r="B12" i="5"/>
  <c r="B11" i="5"/>
  <c r="B10" i="5"/>
  <c r="B9" i="5"/>
  <c r="B56" i="5" s="1"/>
  <c r="B8" i="5"/>
  <c r="E116" i="5" s="1"/>
  <c r="G2" i="5"/>
  <c r="F2" i="5"/>
  <c r="G79" i="2"/>
  <c r="B13" i="2"/>
  <c r="B12" i="2"/>
  <c r="B11" i="2"/>
  <c r="B10" i="2"/>
  <c r="B9" i="2"/>
  <c r="B8" i="2"/>
  <c r="F89" i="5" l="1"/>
  <c r="F90" i="5"/>
  <c r="D81" i="5"/>
  <c r="F87" i="5"/>
  <c r="F86" i="5"/>
  <c r="D80" i="5"/>
  <c r="D79" i="5"/>
  <c r="D78" i="5"/>
  <c r="F84" i="5"/>
  <c r="F88" i="5"/>
  <c r="F85" i="5"/>
  <c r="E77" i="5"/>
  <c r="D75" i="5"/>
  <c r="B116" i="5"/>
  <c r="D77" i="5"/>
  <c r="H24" i="5"/>
  <c r="B64" i="5"/>
  <c r="B9" i="6"/>
  <c r="B11" i="6" s="1"/>
  <c r="B51" i="5"/>
  <c r="B3" i="7"/>
  <c r="B4" i="7" s="1"/>
  <c r="B8" i="7" s="1"/>
  <c r="B79" i="5"/>
  <c r="B78" i="5" s="1"/>
  <c r="B80" i="5" s="1"/>
  <c r="B4" i="6"/>
  <c r="D4" i="6" s="1"/>
  <c r="B5" i="6" s="1"/>
  <c r="B11" i="7"/>
  <c r="D1" i="6"/>
  <c r="B3" i="6"/>
  <c r="D3" i="6" s="1"/>
  <c r="B93" i="5"/>
  <c r="E81" i="5"/>
  <c r="E76" i="5"/>
  <c r="E78" i="5"/>
  <c r="E80" i="5"/>
  <c r="E79" i="5"/>
  <c r="E98" i="5"/>
  <c r="B15" i="5"/>
  <c r="D76" i="5"/>
  <c r="E60" i="5"/>
  <c r="E93" i="5"/>
  <c r="D144" i="5"/>
  <c r="G144" i="5" s="1"/>
  <c r="F17" i="5"/>
  <c r="B22" i="5" s="1"/>
  <c r="D22" i="5" s="1"/>
  <c r="D78" i="2"/>
  <c r="D76" i="2"/>
  <c r="D73" i="2"/>
  <c r="G80" i="2"/>
  <c r="B14" i="2"/>
  <c r="B15" i="2" s="1"/>
  <c r="B57" i="5" l="1"/>
  <c r="F57" i="5" s="1"/>
  <c r="B60" i="5"/>
  <c r="B98" i="5"/>
  <c r="G13" i="7"/>
  <c r="E82" i="5"/>
  <c r="B13" i="7"/>
  <c r="D13" i="7" s="1"/>
  <c r="H58" i="5"/>
  <c r="D14" i="6"/>
  <c r="D5" i="6"/>
  <c r="B14" i="6" s="1"/>
  <c r="B65" i="5"/>
  <c r="D65" i="5" s="1"/>
  <c r="D64" i="5"/>
  <c r="D53" i="2"/>
  <c r="D79" i="2" s="1"/>
  <c r="B1" i="3"/>
  <c r="D1" i="3" s="1"/>
  <c r="F2" i="2"/>
  <c r="G2" i="2"/>
  <c r="E89" i="2"/>
  <c r="D17" i="2"/>
  <c r="F17" i="2" s="1"/>
  <c r="D24" i="2"/>
  <c r="H24" i="2" s="1"/>
  <c r="F24" i="2"/>
  <c r="B1" i="4"/>
  <c r="B40" i="2"/>
  <c r="B51" i="2" s="1"/>
  <c r="B41" i="2"/>
  <c r="B42" i="2"/>
  <c r="B43" i="2"/>
  <c r="B46" i="2"/>
  <c r="B3" i="4" s="1"/>
  <c r="B47" i="2"/>
  <c r="B48" i="2"/>
  <c r="B49" i="2"/>
  <c r="B69" i="2"/>
  <c r="F73" i="2"/>
  <c r="F74" i="2"/>
  <c r="F75" i="2"/>
  <c r="F76" i="2"/>
  <c r="F77" i="2"/>
  <c r="F78" i="2"/>
  <c r="F79" i="2"/>
  <c r="F80" i="2"/>
  <c r="B98" i="2"/>
  <c r="B99" i="2"/>
  <c r="B113" i="2"/>
  <c r="B114" i="2"/>
  <c r="D130" i="2"/>
  <c r="D57" i="5" l="1"/>
  <c r="C79" i="5"/>
  <c r="C76" i="5"/>
  <c r="B77" i="2"/>
  <c r="B76" i="2" s="1"/>
  <c r="B78" i="2" s="1"/>
  <c r="B58" i="2"/>
  <c r="E58" i="2"/>
  <c r="B62" i="2"/>
  <c r="B63" i="2" s="1"/>
  <c r="E75" i="2"/>
  <c r="E76" i="2"/>
  <c r="B74" i="2"/>
  <c r="B73" i="2" s="1"/>
  <c r="B75" i="2" s="1"/>
  <c r="E78" i="2"/>
  <c r="E79" i="2"/>
  <c r="E74" i="2"/>
  <c r="E73" i="2"/>
  <c r="E102" i="2"/>
  <c r="E77" i="2"/>
  <c r="B102" i="2"/>
  <c r="E83" i="2"/>
  <c r="B22" i="2"/>
  <c r="D22" i="2" s="1"/>
  <c r="B83" i="2"/>
  <c r="B2" i="4"/>
  <c r="D77" i="2"/>
  <c r="B10" i="3"/>
  <c r="B11" i="3" s="1"/>
  <c r="D134" i="2"/>
  <c r="D74" i="2"/>
  <c r="D119" i="2" s="1"/>
  <c r="F119" i="2" s="1"/>
  <c r="B54" i="2"/>
  <c r="B9" i="3"/>
  <c r="B4" i="3"/>
  <c r="D4" i="3" s="1"/>
  <c r="D75" i="2"/>
  <c r="B11" i="4"/>
  <c r="B3" i="3"/>
  <c r="D3" i="3" s="1"/>
  <c r="C77" i="5" l="1"/>
  <c r="C75" i="5"/>
  <c r="C78" i="5"/>
  <c r="C80" i="5"/>
  <c r="B4" i="4"/>
  <c r="B8" i="4" s="1"/>
  <c r="B13" i="4" s="1"/>
  <c r="D13" i="4" s="1"/>
  <c r="E80" i="2"/>
  <c r="B55" i="2"/>
  <c r="D55" i="2" s="1"/>
  <c r="B56" i="2"/>
  <c r="D56" i="2" s="1"/>
  <c r="H56" i="2" s="1"/>
  <c r="B89" i="2"/>
  <c r="B5" i="3"/>
  <c r="D5" i="3"/>
  <c r="D62" i="2"/>
  <c r="D63" i="2"/>
  <c r="D14" i="3"/>
  <c r="D133" i="5" l="1"/>
  <c r="B133" i="5" s="1"/>
  <c r="F56" i="2"/>
  <c r="B129" i="5"/>
  <c r="F55" i="2"/>
  <c r="G13" i="4"/>
  <c r="B14" i="3"/>
  <c r="C77" i="2"/>
  <c r="C74" i="2"/>
  <c r="B144" i="5" l="1"/>
  <c r="F144" i="5" s="1"/>
  <c r="B148" i="5"/>
  <c r="C75" i="2"/>
  <c r="C73" i="2"/>
  <c r="C78" i="2"/>
  <c r="C76" i="2"/>
  <c r="B116" i="2" l="1"/>
  <c r="B120" i="2" s="1"/>
  <c r="D120" i="2"/>
  <c r="F120" i="2" s="1"/>
  <c r="B130" i="2" l="1"/>
  <c r="B146" i="2"/>
  <c r="B134" i="2"/>
</calcChain>
</file>

<file path=xl/sharedStrings.xml><?xml version="1.0" encoding="utf-8"?>
<sst xmlns="http://schemas.openxmlformats.org/spreadsheetml/2006/main" count="2054" uniqueCount="589">
  <si>
    <t>N</t>
    <phoneticPr fontId="6" type="noConversion"/>
  </si>
  <si>
    <t>Nm</t>
    <phoneticPr fontId="6" type="noConversion"/>
  </si>
  <si>
    <t>rev</t>
    <phoneticPr fontId="6" type="noConversion"/>
  </si>
  <si>
    <t>kW</t>
    <phoneticPr fontId="6" type="noConversion"/>
  </si>
  <si>
    <t>m</t>
    <phoneticPr fontId="6" type="noConversion"/>
  </si>
  <si>
    <r>
      <t>傳動側齒數</t>
    </r>
    <r>
      <rPr>
        <sz val="12"/>
        <rFont val="Century Gothic"/>
        <family val="2"/>
      </rPr>
      <t xml:space="preserve">, </t>
    </r>
    <r>
      <rPr>
        <b/>
        <sz val="12"/>
        <rFont val="Century Gothic"/>
        <family val="2"/>
      </rPr>
      <t>N</t>
    </r>
    <r>
      <rPr>
        <b/>
        <vertAlign val="subscript"/>
        <sz val="12"/>
        <rFont val="Century Gothic"/>
        <family val="2"/>
      </rPr>
      <t>1</t>
    </r>
    <phoneticPr fontId="6" type="noConversion"/>
  </si>
  <si>
    <r>
      <t>從動側齒數</t>
    </r>
    <r>
      <rPr>
        <sz val="12"/>
        <rFont val="Century Gothic"/>
        <family val="2"/>
      </rPr>
      <t xml:space="preserve">, </t>
    </r>
    <r>
      <rPr>
        <b/>
        <sz val="12"/>
        <rFont val="Century Gothic"/>
        <family val="2"/>
      </rPr>
      <t>N</t>
    </r>
    <r>
      <rPr>
        <b/>
        <vertAlign val="subscript"/>
        <sz val="12"/>
        <rFont val="Century Gothic"/>
        <family val="2"/>
      </rPr>
      <t>2</t>
    </r>
    <phoneticPr fontId="6" type="noConversion"/>
  </si>
  <si>
    <r>
      <rPr>
        <sz val="12"/>
        <rFont val="標楷體"/>
        <family val="4"/>
        <charset val="136"/>
      </rPr>
      <t>螺桿傳動機械效率</t>
    </r>
    <r>
      <rPr>
        <sz val="12"/>
        <rFont val="Century Gothic"/>
        <family val="2"/>
      </rPr>
      <t xml:space="preserve">, </t>
    </r>
    <r>
      <rPr>
        <b/>
        <sz val="12"/>
        <rFont val="Century Gothic"/>
        <family val="2"/>
      </rPr>
      <t>η</t>
    </r>
    <phoneticPr fontId="6" type="noConversion"/>
  </si>
  <si>
    <r>
      <rPr>
        <sz val="12"/>
        <rFont val="標楷體"/>
        <family val="4"/>
        <charset val="136"/>
      </rPr>
      <t>皮帶傳動效率</t>
    </r>
    <r>
      <rPr>
        <sz val="12"/>
        <rFont val="Century Gothic"/>
        <family val="2"/>
      </rPr>
      <t xml:space="preserve">, </t>
    </r>
    <r>
      <rPr>
        <b/>
        <sz val="12"/>
        <rFont val="Century Gothic"/>
        <family val="2"/>
      </rPr>
      <t>η</t>
    </r>
    <r>
      <rPr>
        <b/>
        <vertAlign val="subscript"/>
        <sz val="12"/>
        <rFont val="Century Gothic"/>
        <family val="2"/>
      </rPr>
      <t>pulley</t>
    </r>
    <phoneticPr fontId="6" type="noConversion"/>
  </si>
  <si>
    <r>
      <rPr>
        <sz val="12"/>
        <color indexed="8"/>
        <rFont val="標楷體"/>
        <family val="4"/>
        <charset val="136"/>
      </rPr>
      <t>電機功率</t>
    </r>
    <r>
      <rPr>
        <sz val="12"/>
        <color indexed="8"/>
        <rFont val="Century Gothic"/>
        <family val="2"/>
      </rPr>
      <t xml:space="preserve">, </t>
    </r>
    <r>
      <rPr>
        <b/>
        <sz val="12"/>
        <color indexed="8"/>
        <rFont val="Century Gothic"/>
        <family val="2"/>
      </rPr>
      <t>P</t>
    </r>
    <r>
      <rPr>
        <b/>
        <vertAlign val="subscript"/>
        <sz val="12"/>
        <color indexed="8"/>
        <rFont val="Century Gothic"/>
        <family val="2"/>
      </rPr>
      <t>kW</t>
    </r>
    <phoneticPr fontId="6" type="noConversion"/>
  </si>
  <si>
    <r>
      <rPr>
        <sz val="12"/>
        <rFont val="標楷體"/>
        <family val="4"/>
        <charset val="136"/>
      </rPr>
      <t>螺桿側扭力</t>
    </r>
    <r>
      <rPr>
        <sz val="12"/>
        <rFont val="Century Gothic"/>
        <family val="2"/>
      </rPr>
      <t xml:space="preserve">, </t>
    </r>
    <r>
      <rPr>
        <b/>
        <sz val="12"/>
        <rFont val="Century Gothic"/>
        <family val="2"/>
      </rPr>
      <t>T</t>
    </r>
    <r>
      <rPr>
        <b/>
        <vertAlign val="subscript"/>
        <sz val="12"/>
        <rFont val="Century Gothic"/>
        <family val="2"/>
      </rPr>
      <t>axial</t>
    </r>
    <phoneticPr fontId="6" type="noConversion"/>
  </si>
  <si>
    <r>
      <t>螺桿側軸力</t>
    </r>
    <r>
      <rPr>
        <sz val="12"/>
        <rFont val="Century Gothic"/>
        <family val="2"/>
      </rPr>
      <t xml:space="preserve">, </t>
    </r>
    <r>
      <rPr>
        <b/>
        <sz val="12"/>
        <rFont val="Century Gothic"/>
        <family val="2"/>
      </rPr>
      <t>F</t>
    </r>
    <r>
      <rPr>
        <b/>
        <vertAlign val="subscript"/>
        <sz val="12"/>
        <rFont val="Century Gothic"/>
        <family val="2"/>
      </rPr>
      <t>axial</t>
    </r>
    <phoneticPr fontId="6" type="noConversion"/>
  </si>
  <si>
    <r>
      <rPr>
        <sz val="12"/>
        <rFont val="標楷體"/>
        <family val="4"/>
        <charset val="136"/>
      </rPr>
      <t>螺桿導程</t>
    </r>
    <r>
      <rPr>
        <sz val="12"/>
        <rFont val="Century Gothic"/>
        <family val="2"/>
      </rPr>
      <t xml:space="preserve">pitch, </t>
    </r>
    <r>
      <rPr>
        <b/>
        <sz val="12"/>
        <rFont val="Century Gothic"/>
        <family val="2"/>
      </rPr>
      <t>P</t>
    </r>
    <r>
      <rPr>
        <b/>
        <vertAlign val="subscript"/>
        <sz val="12"/>
        <rFont val="Century Gothic"/>
        <family val="2"/>
      </rPr>
      <t>h</t>
    </r>
    <phoneticPr fontId="6" type="noConversion"/>
  </si>
  <si>
    <t>N-m</t>
    <phoneticPr fontId="6" type="noConversion"/>
  </si>
  <si>
    <t>kgf-mm</t>
    <phoneticPr fontId="6" type="noConversion"/>
  </si>
  <si>
    <t>rpm</t>
    <phoneticPr fontId="6" type="noConversion"/>
  </si>
  <si>
    <r>
      <t>rad/s</t>
    </r>
    <r>
      <rPr>
        <vertAlign val="superscript"/>
        <sz val="12"/>
        <rFont val="Century Gothic"/>
        <family val="2"/>
      </rPr>
      <t>2</t>
    </r>
    <phoneticPr fontId="6" type="noConversion"/>
  </si>
  <si>
    <t>mm/rev</t>
    <phoneticPr fontId="6" type="noConversion"/>
  </si>
  <si>
    <t>kg</t>
    <phoneticPr fontId="6" type="noConversion"/>
  </si>
  <si>
    <t>mm</t>
    <phoneticPr fontId="6" type="noConversion"/>
  </si>
  <si>
    <r>
      <t>滾珠螺桿總長度</t>
    </r>
    <r>
      <rPr>
        <sz val="12"/>
        <rFont val="Century Gothic"/>
        <family val="2"/>
      </rPr>
      <t>, L</t>
    </r>
    <phoneticPr fontId="6" type="noConversion"/>
  </si>
  <si>
    <r>
      <t>螺桿軸外徑</t>
    </r>
    <r>
      <rPr>
        <sz val="12"/>
        <rFont val="Century Gothic"/>
        <family val="2"/>
      </rPr>
      <t>, D</t>
    </r>
    <r>
      <rPr>
        <vertAlign val="subscript"/>
        <sz val="12"/>
        <rFont val="Century Gothic"/>
        <family val="2"/>
      </rPr>
      <t>N</t>
    </r>
    <phoneticPr fontId="6" type="noConversion"/>
  </si>
  <si>
    <r>
      <t>滾珠螺桿重量</t>
    </r>
    <r>
      <rPr>
        <sz val="12"/>
        <rFont val="Century Gothic"/>
        <family val="2"/>
      </rPr>
      <t>, W</t>
    </r>
    <r>
      <rPr>
        <vertAlign val="subscript"/>
        <sz val="12"/>
        <rFont val="Century Gothic"/>
        <family val="2"/>
      </rPr>
      <t>S</t>
    </r>
    <phoneticPr fontId="6" type="noConversion"/>
  </si>
  <si>
    <t>軸心長度</t>
    <phoneticPr fontId="6" type="noConversion"/>
  </si>
  <si>
    <t>軸心直徑</t>
    <phoneticPr fontId="6" type="noConversion"/>
  </si>
  <si>
    <r>
      <t>m/sec</t>
    </r>
    <r>
      <rPr>
        <vertAlign val="superscript"/>
        <sz val="12"/>
        <rFont val="Century Gothic"/>
        <family val="2"/>
      </rPr>
      <t>2</t>
    </r>
    <phoneticPr fontId="6" type="noConversion"/>
  </si>
  <si>
    <r>
      <t>mm/sec</t>
    </r>
    <r>
      <rPr>
        <vertAlign val="superscript"/>
        <sz val="12"/>
        <rFont val="Century Gothic"/>
        <family val="2"/>
      </rPr>
      <t>2</t>
    </r>
    <phoneticPr fontId="6" type="noConversion"/>
  </si>
  <si>
    <r>
      <t>重力加速度</t>
    </r>
    <r>
      <rPr>
        <sz val="12"/>
        <rFont val="Century Gothic"/>
        <family val="2"/>
      </rPr>
      <t>, g</t>
    </r>
    <phoneticPr fontId="6" type="noConversion"/>
  </si>
  <si>
    <r>
      <t>負荷扭矩</t>
    </r>
    <r>
      <rPr>
        <sz val="12"/>
        <rFont val="Century Gothic"/>
        <family val="2"/>
      </rPr>
      <t>, T</t>
    </r>
    <r>
      <rPr>
        <vertAlign val="subscript"/>
        <sz val="12"/>
        <rFont val="Century Gothic"/>
        <family val="2"/>
      </rPr>
      <t>a</t>
    </r>
    <phoneticPr fontId="6" type="noConversion"/>
  </si>
  <si>
    <t>(0.9~0.95)</t>
    <phoneticPr fontId="6" type="noConversion"/>
  </si>
  <si>
    <r>
      <t>機械效率</t>
    </r>
    <r>
      <rPr>
        <sz val="12"/>
        <rFont val="Century Gothic"/>
        <family val="2"/>
      </rPr>
      <t>, η</t>
    </r>
    <r>
      <rPr>
        <vertAlign val="subscript"/>
        <sz val="12"/>
        <rFont val="Century Gothic"/>
        <family val="2"/>
      </rPr>
      <t>1</t>
    </r>
    <phoneticPr fontId="6" type="noConversion"/>
  </si>
  <si>
    <t>馬達驅動扭矩</t>
    <phoneticPr fontId="6" type="noConversion"/>
  </si>
  <si>
    <t>有衝擊、振動時</t>
    <phoneticPr fontId="6" type="noConversion"/>
  </si>
  <si>
    <t>普通運動時</t>
    <phoneticPr fontId="6" type="noConversion"/>
  </si>
  <si>
    <t>普通、圓滑的運動時</t>
    <phoneticPr fontId="6" type="noConversion"/>
  </si>
  <si>
    <r>
      <t>fs</t>
    </r>
    <r>
      <rPr>
        <sz val="12"/>
        <rFont val="標楷體"/>
        <family val="4"/>
        <charset val="136"/>
      </rPr>
      <t>下限</t>
    </r>
    <phoneticPr fontId="6" type="noConversion"/>
  </si>
  <si>
    <t>荷重條件</t>
    <phoneticPr fontId="6" type="noConversion"/>
  </si>
  <si>
    <r>
      <t>負荷係數</t>
    </r>
    <r>
      <rPr>
        <sz val="12"/>
        <rFont val="Century Gothic"/>
        <family val="2"/>
      </rPr>
      <t>, f</t>
    </r>
    <r>
      <rPr>
        <vertAlign val="subscript"/>
        <sz val="12"/>
        <rFont val="Century Gothic"/>
        <family val="2"/>
      </rPr>
      <t>w</t>
    </r>
    <phoneticPr fontId="6" type="noConversion"/>
  </si>
  <si>
    <t>hrs</t>
    <phoneticPr fontId="6" type="noConversion"/>
  </si>
  <si>
    <r>
      <t>額定疲勞壽命</t>
    </r>
    <r>
      <rPr>
        <sz val="12"/>
        <rFont val="Century Gothic"/>
        <family val="2"/>
      </rPr>
      <t>, L</t>
    </r>
    <r>
      <rPr>
        <vertAlign val="subscript"/>
        <sz val="12"/>
        <rFont val="Century Gothic"/>
        <family val="2"/>
      </rPr>
      <t>t</t>
    </r>
    <phoneticPr fontId="6" type="noConversion"/>
  </si>
  <si>
    <t>kgf</t>
    <phoneticPr fontId="6" type="noConversion"/>
  </si>
  <si>
    <r>
      <t>所需動額定負荷</t>
    </r>
    <r>
      <rPr>
        <sz val="12"/>
        <rFont val="Century Gothic"/>
        <family val="2"/>
      </rPr>
      <t>, C</t>
    </r>
    <r>
      <rPr>
        <vertAlign val="subscript"/>
        <sz val="12"/>
        <rFont val="Century Gothic"/>
        <family val="2"/>
      </rPr>
      <t>a</t>
    </r>
    <phoneticPr fontId="6" type="noConversion"/>
  </si>
  <si>
    <t>衝擊與震動運轉</t>
    <phoneticPr fontId="6" type="noConversion"/>
  </si>
  <si>
    <t>PMI</t>
  </si>
  <si>
    <t>無衝擊運轉</t>
    <phoneticPr fontId="6" type="noConversion"/>
  </si>
  <si>
    <t>正常運轉</t>
    <phoneticPr fontId="6" type="noConversion"/>
  </si>
  <si>
    <r>
      <t>η</t>
    </r>
    <r>
      <rPr>
        <vertAlign val="subscript"/>
        <sz val="12"/>
        <rFont val="Century Gothic"/>
        <family val="2"/>
      </rPr>
      <t>2</t>
    </r>
    <phoneticPr fontId="6" type="noConversion"/>
  </si>
  <si>
    <r>
      <t>η</t>
    </r>
    <r>
      <rPr>
        <vertAlign val="subscript"/>
        <sz val="12"/>
        <rFont val="Century Gothic"/>
        <family val="2"/>
      </rPr>
      <t>1</t>
    </r>
    <phoneticPr fontId="6" type="noConversion"/>
  </si>
  <si>
    <t>正常運轉</t>
  </si>
  <si>
    <t>與與運作條件有關的係數</t>
    <phoneticPr fontId="6" type="noConversion"/>
  </si>
  <si>
    <r>
      <t>平均負荷</t>
    </r>
    <r>
      <rPr>
        <sz val="12"/>
        <rFont val="Century Gothic"/>
        <family val="2"/>
      </rPr>
      <t>, P</t>
    </r>
    <r>
      <rPr>
        <vertAlign val="subscript"/>
        <sz val="12"/>
        <rFont val="Century Gothic"/>
        <family val="2"/>
      </rPr>
      <t>e</t>
    </r>
    <phoneticPr fontId="6" type="noConversion"/>
  </si>
  <si>
    <t>PMI</t>
    <phoneticPr fontId="6" type="noConversion"/>
  </si>
  <si>
    <r>
      <t>平均回轉數</t>
    </r>
    <r>
      <rPr>
        <sz val="12"/>
        <rFont val="Century Gothic"/>
        <family val="2"/>
      </rPr>
      <t>, n</t>
    </r>
    <r>
      <rPr>
        <vertAlign val="subscript"/>
        <sz val="12"/>
        <rFont val="Century Gothic"/>
        <family val="2"/>
      </rPr>
      <t>m</t>
    </r>
    <phoneticPr fontId="6" type="noConversion"/>
  </si>
  <si>
    <t>λ</t>
    <phoneticPr fontId="6" type="noConversion"/>
  </si>
  <si>
    <t>f</t>
    <phoneticPr fontId="6" type="noConversion"/>
  </si>
  <si>
    <t>固定-固定</t>
    <phoneticPr fontId="6" type="noConversion"/>
  </si>
  <si>
    <t>固定-自由</t>
    <phoneticPr fontId="6" type="noConversion"/>
  </si>
  <si>
    <t>固定-支撐</t>
    <phoneticPr fontId="6" type="noConversion"/>
  </si>
  <si>
    <t>支撐-支撐</t>
    <phoneticPr fontId="6" type="noConversion"/>
  </si>
  <si>
    <t>固定-支撐</t>
  </si>
  <si>
    <t>與安裝方法有關的係數</t>
    <phoneticPr fontId="6" type="noConversion"/>
  </si>
  <si>
    <r>
      <t>目前選用螺桿軸外徑</t>
    </r>
    <r>
      <rPr>
        <sz val="12"/>
        <rFont val="Century Gothic"/>
        <family val="2"/>
      </rPr>
      <t>, DN</t>
    </r>
    <phoneticPr fontId="6" type="noConversion"/>
  </si>
  <si>
    <r>
      <t>螺桿根徑</t>
    </r>
    <r>
      <rPr>
        <sz val="12"/>
        <rFont val="Century Gothic"/>
        <family val="2"/>
      </rPr>
      <t>, d</t>
    </r>
    <r>
      <rPr>
        <vertAlign val="subscript"/>
        <sz val="12"/>
        <rFont val="Century Gothic"/>
        <family val="2"/>
      </rPr>
      <t xml:space="preserve">r  </t>
    </r>
    <r>
      <rPr>
        <sz val="12"/>
        <rFont val="Century Gothic"/>
        <family val="2"/>
      </rPr>
      <t>&gt;</t>
    </r>
    <phoneticPr fontId="6" type="noConversion"/>
  </si>
  <si>
    <t>考慮容許轉速的計算</t>
    <phoneticPr fontId="6" type="noConversion"/>
  </si>
  <si>
    <r>
      <t>目前選用螺桿軸外徑</t>
    </r>
    <r>
      <rPr>
        <sz val="12"/>
        <rFont val="Century Gothic"/>
        <family val="2"/>
      </rPr>
      <t>, D</t>
    </r>
    <r>
      <rPr>
        <vertAlign val="subscript"/>
        <sz val="12"/>
        <rFont val="Century Gothic"/>
        <family val="2"/>
      </rPr>
      <t>N</t>
    </r>
    <phoneticPr fontId="6" type="noConversion"/>
  </si>
  <si>
    <t>考慮挫屈負載的影響</t>
    <phoneticPr fontId="6" type="noConversion"/>
  </si>
  <si>
    <t>考慮細長比</t>
    <phoneticPr fontId="6" type="noConversion"/>
  </si>
  <si>
    <t>靜止不動</t>
    <phoneticPr fontId="6" type="noConversion"/>
  </si>
  <si>
    <t>等減速下降</t>
    <phoneticPr fontId="6" type="noConversion"/>
  </si>
  <si>
    <t>等速下降</t>
    <phoneticPr fontId="6" type="noConversion"/>
  </si>
  <si>
    <t>等加速下降</t>
    <phoneticPr fontId="6" type="noConversion"/>
  </si>
  <si>
    <t>等減速上昇</t>
    <phoneticPr fontId="6" type="noConversion"/>
  </si>
  <si>
    <t>等速上昇</t>
    <phoneticPr fontId="6" type="noConversion"/>
  </si>
  <si>
    <t>等加速上昇</t>
    <phoneticPr fontId="6" type="noConversion"/>
  </si>
  <si>
    <r>
      <t>使用時間</t>
    </r>
    <r>
      <rPr>
        <sz val="12"/>
        <rFont val="Century Gothic"/>
        <family val="2"/>
      </rPr>
      <t>, sec</t>
    </r>
    <phoneticPr fontId="6" type="noConversion"/>
  </si>
  <si>
    <r>
      <t>使用時間</t>
    </r>
    <r>
      <rPr>
        <sz val="12"/>
        <rFont val="Century Gothic"/>
        <family val="2"/>
      </rPr>
      <t>, min</t>
    </r>
    <phoneticPr fontId="6" type="noConversion"/>
  </si>
  <si>
    <r>
      <t>使用時間</t>
    </r>
    <r>
      <rPr>
        <sz val="12"/>
        <rFont val="Century Gothic"/>
        <family val="2"/>
      </rPr>
      <t>, %</t>
    </r>
    <phoneticPr fontId="6" type="noConversion"/>
  </si>
  <si>
    <r>
      <t>軸向負荷</t>
    </r>
    <r>
      <rPr>
        <sz val="12"/>
        <rFont val="Century Gothic"/>
        <family val="2"/>
      </rPr>
      <t>, N</t>
    </r>
    <phoneticPr fontId="6" type="noConversion"/>
  </si>
  <si>
    <r>
      <t>回轉數</t>
    </r>
    <r>
      <rPr>
        <sz val="12"/>
        <rFont val="Century Gothic"/>
        <family val="2"/>
      </rPr>
      <t>(rpm)</t>
    </r>
    <phoneticPr fontId="6" type="noConversion"/>
  </si>
  <si>
    <r>
      <t>速度</t>
    </r>
    <r>
      <rPr>
        <sz val="12"/>
        <rFont val="Century Gothic"/>
        <family val="2"/>
      </rPr>
      <t>(m/min)</t>
    </r>
    <phoneticPr fontId="6" type="noConversion"/>
  </si>
  <si>
    <t>PMA102-15</t>
    <phoneticPr fontId="6" type="noConversion"/>
  </si>
  <si>
    <t>假設使用條件</t>
    <phoneticPr fontId="6" type="noConversion"/>
  </si>
  <si>
    <t>PMA078-15-ES</t>
    <phoneticPr fontId="6" type="noConversion"/>
  </si>
  <si>
    <t>PMA072-30</t>
    <phoneticPr fontId="6" type="noConversion"/>
  </si>
  <si>
    <t>PMA072-20</t>
    <phoneticPr fontId="6" type="noConversion"/>
  </si>
  <si>
    <t>轉動率</t>
    <phoneticPr fontId="6" type="noConversion"/>
  </si>
  <si>
    <t>PMA072-15</t>
    <phoneticPr fontId="6" type="noConversion"/>
  </si>
  <si>
    <t>years</t>
    <phoneticPr fontId="6" type="noConversion"/>
  </si>
  <si>
    <t>運轉年數</t>
    <phoneticPr fontId="6" type="noConversion"/>
  </si>
  <si>
    <t>PMA072-10</t>
    <phoneticPr fontId="6" type="noConversion"/>
  </si>
  <si>
    <t>days</t>
    <phoneticPr fontId="6" type="noConversion"/>
  </si>
  <si>
    <t>每年運轉日數</t>
    <phoneticPr fontId="6" type="noConversion"/>
  </si>
  <si>
    <t>PMA068-30</t>
    <phoneticPr fontId="6" type="noConversion"/>
  </si>
  <si>
    <t>每日運轉小時數</t>
    <phoneticPr fontId="6" type="noConversion"/>
  </si>
  <si>
    <t>PMA068-25</t>
    <phoneticPr fontId="6" type="noConversion"/>
  </si>
  <si>
    <t>PMA068-20</t>
    <phoneticPr fontId="6" type="noConversion"/>
  </si>
  <si>
    <t>rev/s</t>
    <phoneticPr fontId="6" type="noConversion"/>
  </si>
  <si>
    <t>最快速時伺服馬達之轉速</t>
    <phoneticPr fontId="6" type="noConversion"/>
  </si>
  <si>
    <t>PMA066-25</t>
    <phoneticPr fontId="6" type="noConversion"/>
  </si>
  <si>
    <t>最快速時滾珠螺桿之轉速</t>
    <phoneticPr fontId="6" type="noConversion"/>
  </si>
  <si>
    <t>PMA065-25</t>
    <phoneticPr fontId="6" type="noConversion"/>
  </si>
  <si>
    <t>PMA065-20</t>
    <phoneticPr fontId="6" type="noConversion"/>
  </si>
  <si>
    <t>PMA064-25</t>
    <phoneticPr fontId="6" type="noConversion"/>
  </si>
  <si>
    <t>PMA0615-30</t>
    <phoneticPr fontId="6" type="noConversion"/>
  </si>
  <si>
    <t>目前選用導程</t>
    <phoneticPr fontId="6" type="noConversion"/>
  </si>
  <si>
    <r>
      <t>適用螺桿導程</t>
    </r>
    <r>
      <rPr>
        <sz val="12"/>
        <rFont val="Century Gothic"/>
        <family val="2"/>
      </rPr>
      <t>, l</t>
    </r>
    <phoneticPr fontId="6" type="noConversion"/>
  </si>
  <si>
    <t>PMA0615-25</t>
    <phoneticPr fontId="6" type="noConversion"/>
  </si>
  <si>
    <t>PMA0615-15</t>
    <phoneticPr fontId="6" type="noConversion"/>
  </si>
  <si>
    <t>m/s</t>
    <phoneticPr fontId="6" type="noConversion"/>
  </si>
  <si>
    <t>mm/s</t>
    <phoneticPr fontId="6" type="noConversion"/>
  </si>
  <si>
    <t>m/min</t>
    <phoneticPr fontId="6" type="noConversion"/>
  </si>
  <si>
    <t>mm/min</t>
    <phoneticPr fontId="6" type="noConversion"/>
  </si>
  <si>
    <r>
      <t>最高速度</t>
    </r>
    <r>
      <rPr>
        <sz val="12"/>
        <rFont val="Century Gothic"/>
        <family val="2"/>
      </rPr>
      <t>, V</t>
    </r>
    <r>
      <rPr>
        <vertAlign val="subscript"/>
        <sz val="12"/>
        <rFont val="Century Gothic"/>
        <family val="2"/>
      </rPr>
      <t>max</t>
    </r>
    <phoneticPr fontId="6" type="noConversion"/>
  </si>
  <si>
    <t>PMA0610-25</t>
    <phoneticPr fontId="6" type="noConversion"/>
  </si>
  <si>
    <r>
      <t>最高額定速度</t>
    </r>
    <r>
      <rPr>
        <sz val="12"/>
        <rFont val="Century Gothic"/>
        <family val="2"/>
      </rPr>
      <t>, V</t>
    </r>
    <r>
      <rPr>
        <vertAlign val="subscript"/>
        <sz val="12"/>
        <rFont val="Century Gothic"/>
        <family val="2"/>
      </rPr>
      <t>rated</t>
    </r>
    <phoneticPr fontId="6" type="noConversion"/>
  </si>
  <si>
    <t>Y-56S-MPB</t>
    <phoneticPr fontId="6" type="noConversion"/>
  </si>
  <si>
    <t>PMA0610-15</t>
    <phoneticPr fontId="6" type="noConversion"/>
  </si>
  <si>
    <r>
      <t>全行程轉數</t>
    </r>
    <r>
      <rPr>
        <sz val="12"/>
        <rFont val="Century Gothic"/>
        <family val="2"/>
      </rPr>
      <t>, N</t>
    </r>
    <phoneticPr fontId="6" type="noConversion"/>
  </si>
  <si>
    <t>Y-52S-MPB</t>
    <phoneticPr fontId="6" type="noConversion"/>
  </si>
  <si>
    <t>PMA056-30</t>
    <phoneticPr fontId="6" type="noConversion"/>
  </si>
  <si>
    <t>Y-50S-MPB</t>
    <phoneticPr fontId="6" type="noConversion"/>
  </si>
  <si>
    <t>PMA056-20</t>
    <phoneticPr fontId="6" type="noConversion"/>
  </si>
  <si>
    <t>Y-44S-MPB</t>
    <phoneticPr fontId="6" type="noConversion"/>
  </si>
  <si>
    <t>PMA055-30</t>
    <phoneticPr fontId="6" type="noConversion"/>
  </si>
  <si>
    <t>Y-38S-MPB</t>
    <phoneticPr fontId="6" type="noConversion"/>
  </si>
  <si>
    <t>PMA054-30</t>
    <phoneticPr fontId="6" type="noConversion"/>
  </si>
  <si>
    <r>
      <t>大齒輪厚度</t>
    </r>
    <r>
      <rPr>
        <sz val="12"/>
        <rFont val="Century Gothic"/>
        <family val="2"/>
      </rPr>
      <t>, W</t>
    </r>
    <phoneticPr fontId="6" type="noConversion"/>
  </si>
  <si>
    <t>Y-36S-MPB</t>
    <phoneticPr fontId="6" type="noConversion"/>
  </si>
  <si>
    <t>PMA052-30</t>
    <phoneticPr fontId="6" type="noConversion"/>
  </si>
  <si>
    <r>
      <t>大齒輪直徑</t>
    </r>
    <r>
      <rPr>
        <sz val="12"/>
        <rFont val="Century Gothic"/>
        <family val="2"/>
      </rPr>
      <t>, PD</t>
    </r>
    <phoneticPr fontId="6" type="noConversion"/>
  </si>
  <si>
    <t>Y-34S-QT</t>
    <phoneticPr fontId="6" type="noConversion"/>
  </si>
  <si>
    <t>PM138-15</t>
    <phoneticPr fontId="6" type="noConversion"/>
  </si>
  <si>
    <t>皮帶寬度</t>
    <phoneticPr fontId="6" type="noConversion"/>
  </si>
  <si>
    <t>Y-30S-MPB</t>
    <phoneticPr fontId="6" type="noConversion"/>
  </si>
  <si>
    <t>PM137-15</t>
    <phoneticPr fontId="6" type="noConversion"/>
  </si>
  <si>
    <t>W-60S-MPB</t>
    <phoneticPr fontId="6" type="noConversion"/>
  </si>
  <si>
    <t>PM136-15</t>
    <phoneticPr fontId="6" type="noConversion"/>
  </si>
  <si>
    <r>
      <t>滾珠螺桿側齒輪規格</t>
    </r>
    <r>
      <rPr>
        <sz val="12"/>
        <rFont val="Century Gothic"/>
        <family val="2"/>
      </rPr>
      <t>(</t>
    </r>
    <r>
      <rPr>
        <sz val="12"/>
        <rFont val="標楷體"/>
        <family val="4"/>
        <charset val="136"/>
      </rPr>
      <t>從動</t>
    </r>
    <r>
      <rPr>
        <sz val="12"/>
        <rFont val="Century Gothic"/>
        <family val="2"/>
      </rPr>
      <t>)</t>
    </r>
    <phoneticPr fontId="6" type="noConversion"/>
  </si>
  <si>
    <t>W-48S-MPB</t>
    <phoneticPr fontId="6" type="noConversion"/>
  </si>
  <si>
    <t>PM135-15</t>
    <phoneticPr fontId="6" type="noConversion"/>
  </si>
  <si>
    <t>W-30S-MPB</t>
    <phoneticPr fontId="6" type="noConversion"/>
  </si>
  <si>
    <t>PM134-15</t>
    <phoneticPr fontId="6" type="noConversion"/>
  </si>
  <si>
    <r>
      <t>小齒輪厚度</t>
    </r>
    <r>
      <rPr>
        <sz val="12"/>
        <rFont val="Century Gothic"/>
        <family val="2"/>
      </rPr>
      <t>,W</t>
    </r>
    <phoneticPr fontId="6" type="noConversion"/>
  </si>
  <si>
    <t>W-24S-MPB</t>
    <phoneticPr fontId="6" type="noConversion"/>
  </si>
  <si>
    <t>PM133-15</t>
    <phoneticPr fontId="6" type="noConversion"/>
  </si>
  <si>
    <r>
      <t>小齒輪直徑</t>
    </r>
    <r>
      <rPr>
        <sz val="12"/>
        <rFont val="Century Gothic"/>
        <family val="2"/>
      </rPr>
      <t>, PD</t>
    </r>
    <phoneticPr fontId="6" type="noConversion"/>
  </si>
  <si>
    <t>HTPA60S8M300-A</t>
    <phoneticPr fontId="6" type="noConversion"/>
  </si>
  <si>
    <t>PM132-15</t>
    <phoneticPr fontId="6" type="noConversion"/>
  </si>
  <si>
    <t>HTPA60S8M250-A</t>
    <phoneticPr fontId="6" type="noConversion"/>
  </si>
  <si>
    <t>PM109-15</t>
    <phoneticPr fontId="6" type="noConversion"/>
  </si>
  <si>
    <t>HTPA50S8M300-A</t>
    <phoneticPr fontId="6" type="noConversion"/>
  </si>
  <si>
    <t>PM108-15</t>
    <phoneticPr fontId="6" type="noConversion"/>
  </si>
  <si>
    <r>
      <t>伺服馬達側齒輪規格</t>
    </r>
    <r>
      <rPr>
        <sz val="12"/>
        <rFont val="Century Gothic"/>
        <family val="2"/>
      </rPr>
      <t>(</t>
    </r>
    <r>
      <rPr>
        <sz val="12"/>
        <rFont val="標楷體"/>
        <family val="4"/>
        <charset val="136"/>
      </rPr>
      <t>傳動</t>
    </r>
    <r>
      <rPr>
        <sz val="12"/>
        <rFont val="Century Gothic"/>
        <family val="2"/>
      </rPr>
      <t>)</t>
    </r>
    <phoneticPr fontId="6" type="noConversion"/>
  </si>
  <si>
    <t>HTPA50S8M250-A</t>
    <phoneticPr fontId="6" type="noConversion"/>
  </si>
  <si>
    <t>PM106-15</t>
    <phoneticPr fontId="6" type="noConversion"/>
  </si>
  <si>
    <t>HTPA48S8M300-A</t>
    <phoneticPr fontId="6" type="noConversion"/>
  </si>
  <si>
    <t>PM105-15</t>
    <phoneticPr fontId="6" type="noConversion"/>
  </si>
  <si>
    <t>HTPA48S8M250-A</t>
    <phoneticPr fontId="6" type="noConversion"/>
  </si>
  <si>
    <t>PM104-15</t>
    <phoneticPr fontId="6" type="noConversion"/>
  </si>
  <si>
    <t>HTPA48S8M150-A</t>
    <phoneticPr fontId="6" type="noConversion"/>
  </si>
  <si>
    <t>PM103-15</t>
    <phoneticPr fontId="6" type="noConversion"/>
  </si>
  <si>
    <t>重量</t>
    <phoneticPr fontId="6" type="noConversion"/>
  </si>
  <si>
    <t>HTPA44S8M300-A</t>
    <phoneticPr fontId="6" type="noConversion"/>
  </si>
  <si>
    <t>A</t>
    <phoneticPr fontId="6" type="noConversion"/>
  </si>
  <si>
    <t>最大電流</t>
    <phoneticPr fontId="6" type="noConversion"/>
  </si>
  <si>
    <t>HTPA44S8M250-A</t>
    <phoneticPr fontId="6" type="noConversion"/>
  </si>
  <si>
    <t>額定電流</t>
    <phoneticPr fontId="6" type="noConversion"/>
  </si>
  <si>
    <t>HTPA40S8M300-A</t>
    <phoneticPr fontId="6" type="noConversion"/>
  </si>
  <si>
    <t>PM078-15</t>
  </si>
  <si>
    <t>瞬間容許轉速</t>
    <phoneticPr fontId="6" type="noConversion"/>
  </si>
  <si>
    <t>HTPA40S8M250-A</t>
    <phoneticPr fontId="6" type="noConversion"/>
  </si>
  <si>
    <t>HTPA38S8M300-A</t>
    <phoneticPr fontId="6" type="noConversion"/>
  </si>
  <si>
    <t>PM076-30</t>
  </si>
  <si>
    <t>最大轉矩</t>
    <phoneticPr fontId="6" type="noConversion"/>
  </si>
  <si>
    <t>HTPA38S8M250-A</t>
    <phoneticPr fontId="6" type="noConversion"/>
  </si>
  <si>
    <t>PM076-20</t>
  </si>
  <si>
    <t>HTPA36S8M300-A</t>
    <phoneticPr fontId="6" type="noConversion"/>
  </si>
  <si>
    <t>PM076-15</t>
  </si>
  <si>
    <t>額定出力容量</t>
    <phoneticPr fontId="6" type="noConversion"/>
  </si>
  <si>
    <t>HTPA36S8M250-A</t>
    <phoneticPr fontId="6" type="noConversion"/>
  </si>
  <si>
    <t>PM076-10</t>
  </si>
  <si>
    <t>伺服驅動器型號</t>
    <phoneticPr fontId="6" type="noConversion"/>
  </si>
  <si>
    <t>HTPA34S8M300-A</t>
    <phoneticPr fontId="6" type="noConversion"/>
  </si>
  <si>
    <t>PM074-30</t>
  </si>
  <si>
    <t>伺服馬達型號</t>
    <phoneticPr fontId="6" type="noConversion"/>
  </si>
  <si>
    <t>HTPA34S8M250-A</t>
    <phoneticPr fontId="6" type="noConversion"/>
  </si>
  <si>
    <t>PM074-20</t>
  </si>
  <si>
    <t>HTPA32S8M300-A</t>
    <phoneticPr fontId="6" type="noConversion"/>
  </si>
  <si>
    <t>PM074-15</t>
  </si>
  <si>
    <t>最快速度要求</t>
    <phoneticPr fontId="6" type="noConversion"/>
  </si>
  <si>
    <t>HTPA32S8M250-A</t>
    <phoneticPr fontId="6" type="noConversion"/>
  </si>
  <si>
    <t>PM074-10</t>
  </si>
  <si>
    <t>s</t>
    <phoneticPr fontId="6" type="noConversion"/>
  </si>
  <si>
    <t>加速時間要求</t>
    <phoneticPr fontId="6" type="noConversion"/>
  </si>
  <si>
    <t>HTPA30S8M300-A</t>
    <phoneticPr fontId="6" type="noConversion"/>
  </si>
  <si>
    <t>PM072-30</t>
  </si>
  <si>
    <r>
      <t>rev/s</t>
    </r>
    <r>
      <rPr>
        <vertAlign val="superscript"/>
        <sz val="12"/>
        <rFont val="Century Gothic"/>
        <family val="2"/>
      </rPr>
      <t>2</t>
    </r>
    <phoneticPr fontId="6" type="noConversion"/>
  </si>
  <si>
    <t>角加速度</t>
  </si>
  <si>
    <t>HTPA30S8M250-A</t>
    <phoneticPr fontId="6" type="noConversion"/>
  </si>
  <si>
    <t>PM072-20</t>
  </si>
  <si>
    <t>HTPA30S8M150-A</t>
    <phoneticPr fontId="6" type="noConversion"/>
  </si>
  <si>
    <t>PM072-15</t>
  </si>
  <si>
    <r>
      <t>※角加速度單位為</t>
    </r>
    <r>
      <rPr>
        <sz val="12"/>
        <rFont val="Century Gothic"/>
        <family val="2"/>
      </rPr>
      <t xml:space="preserve"> rad/s</t>
    </r>
    <r>
      <rPr>
        <vertAlign val="superscript"/>
        <sz val="12"/>
        <rFont val="Century Gothic"/>
        <family val="2"/>
      </rPr>
      <t>2</t>
    </r>
    <r>
      <rPr>
        <sz val="12"/>
        <rFont val="Century Gothic"/>
        <family val="2"/>
      </rPr>
      <t xml:space="preserve"> =&gt; 2π rad/s</t>
    </r>
    <r>
      <rPr>
        <vertAlign val="superscript"/>
        <sz val="12"/>
        <rFont val="Century Gothic"/>
        <family val="2"/>
      </rPr>
      <t>2</t>
    </r>
    <r>
      <rPr>
        <sz val="12"/>
        <rFont val="Century Gothic"/>
        <family val="2"/>
      </rPr>
      <t xml:space="preserve"> = 1 rev/s</t>
    </r>
    <r>
      <rPr>
        <vertAlign val="superscript"/>
        <sz val="12"/>
        <rFont val="Century Gothic"/>
        <family val="2"/>
      </rPr>
      <t>2</t>
    </r>
    <phoneticPr fontId="6" type="noConversion"/>
  </si>
  <si>
    <t>HTPA28S8M300-A</t>
    <phoneticPr fontId="6" type="noConversion"/>
  </si>
  <si>
    <t>PM072-10</t>
  </si>
  <si>
    <r>
      <t>※角速度單位為</t>
    </r>
    <r>
      <rPr>
        <sz val="12"/>
        <rFont val="Century Gothic"/>
        <family val="2"/>
      </rPr>
      <t xml:space="preserve"> rad/s =&gt; 2π rad/s = 1 rev/s = 60 rev/min = 60 rpm</t>
    </r>
    <phoneticPr fontId="6" type="noConversion"/>
  </si>
  <si>
    <t>HTPA28S8M250-A</t>
    <phoneticPr fontId="6" type="noConversion"/>
  </si>
  <si>
    <t>MR-JE-40A</t>
    <phoneticPr fontId="6" type="noConversion"/>
  </si>
  <si>
    <r>
      <t>※角度單位為</t>
    </r>
    <r>
      <rPr>
        <sz val="12"/>
        <rFont val="Century Gothic"/>
        <family val="2"/>
      </rPr>
      <t xml:space="preserve"> rad =&gt; 2π rad = 360º = 1 rev   (rev = revolutions)</t>
    </r>
    <phoneticPr fontId="6" type="noConversion"/>
  </si>
  <si>
    <t>HTPA26S8M300-A</t>
    <phoneticPr fontId="6" type="noConversion"/>
  </si>
  <si>
    <t>MR-J3 200</t>
  </si>
  <si>
    <r>
      <t>mm/s</t>
    </r>
    <r>
      <rPr>
        <vertAlign val="superscript"/>
        <sz val="12"/>
        <rFont val="Century Gothic"/>
        <family val="2"/>
      </rPr>
      <t>2</t>
    </r>
    <phoneticPr fontId="6" type="noConversion"/>
  </si>
  <si>
    <r>
      <t>m/s</t>
    </r>
    <r>
      <rPr>
        <vertAlign val="superscript"/>
        <sz val="12"/>
        <rFont val="Century Gothic"/>
        <family val="2"/>
      </rPr>
      <t>2</t>
    </r>
    <phoneticPr fontId="6" type="noConversion"/>
  </si>
  <si>
    <t>g</t>
    <phoneticPr fontId="6" type="noConversion"/>
  </si>
  <si>
    <t>最大加速度要求</t>
    <phoneticPr fontId="6" type="noConversion"/>
  </si>
  <si>
    <t>HTPA26S8M250-A</t>
    <phoneticPr fontId="6" type="noConversion"/>
  </si>
  <si>
    <t>MR-J3 500</t>
  </si>
  <si>
    <t>HF-SP 502(B)</t>
  </si>
  <si>
    <t>HTPA25S8M300-A</t>
    <phoneticPr fontId="6" type="noConversion"/>
  </si>
  <si>
    <t>HF-SP 352(B)</t>
  </si>
  <si>
    <t>HTPA25S8M250-A</t>
    <phoneticPr fontId="6" type="noConversion"/>
  </si>
  <si>
    <t>HF-SP 202(B)</t>
  </si>
  <si>
    <t>HTPA24S8M300-A</t>
    <phoneticPr fontId="6" type="noConversion"/>
  </si>
  <si>
    <t>HF-SP 152(B)</t>
  </si>
  <si>
    <t>滾珠螺冒長度</t>
    <phoneticPr fontId="6" type="noConversion"/>
  </si>
  <si>
    <t>HTPA24S8M250-A</t>
    <phoneticPr fontId="6" type="noConversion"/>
  </si>
  <si>
    <t>HF-SP 102(B)</t>
  </si>
  <si>
    <t>kgf/μm</t>
    <phoneticPr fontId="6" type="noConversion"/>
  </si>
  <si>
    <r>
      <t>剛性</t>
    </r>
    <r>
      <rPr>
        <sz val="12"/>
        <rFont val="Century Gothic"/>
        <family val="2"/>
      </rPr>
      <t>, K</t>
    </r>
    <phoneticPr fontId="6" type="noConversion"/>
  </si>
  <si>
    <t>HTPA22S8M300-A</t>
    <phoneticPr fontId="6" type="noConversion"/>
  </si>
  <si>
    <t>HC-RP 503(B)</t>
  </si>
  <si>
    <t>HTPA22S8M250-A</t>
    <phoneticPr fontId="6" type="noConversion"/>
  </si>
  <si>
    <t>HC-RP 353(B)</t>
  </si>
  <si>
    <t>HTPA21S8M300-A</t>
    <phoneticPr fontId="6" type="noConversion"/>
  </si>
  <si>
    <t>MR-J3 350</t>
  </si>
  <si>
    <t>HC-RP 203(B)</t>
  </si>
  <si>
    <t>HTPA21S8M250-A</t>
    <phoneticPr fontId="6" type="noConversion"/>
  </si>
  <si>
    <t>HC-RP 105(B)</t>
  </si>
  <si>
    <t>HTPA20S8M300-A</t>
    <phoneticPr fontId="6" type="noConversion"/>
  </si>
  <si>
    <t>HC-RP 103(B)</t>
  </si>
  <si>
    <t>滾珠螺桿型號</t>
    <phoneticPr fontId="6" type="noConversion"/>
  </si>
  <si>
    <t>HTPA20S8M250-A</t>
    <phoneticPr fontId="6" type="noConversion"/>
  </si>
  <si>
    <t>Mini OPDE</t>
    <phoneticPr fontId="6" type="noConversion"/>
  </si>
  <si>
    <t>HTPA19S8M300-A</t>
    <phoneticPr fontId="6" type="noConversion"/>
  </si>
  <si>
    <t>導引面磨擦係數</t>
    <phoneticPr fontId="6" type="noConversion"/>
  </si>
  <si>
    <t>HTPA19S8M250-A</t>
    <phoneticPr fontId="6" type="noConversion"/>
  </si>
  <si>
    <t>degree</t>
    <phoneticPr fontId="6" type="noConversion"/>
  </si>
  <si>
    <t>安裝角度</t>
    <phoneticPr fontId="6" type="noConversion"/>
  </si>
  <si>
    <t>HTPA18S8M300-A</t>
    <phoneticPr fontId="6" type="noConversion"/>
  </si>
  <si>
    <t>ESM125E-380V</t>
    <phoneticPr fontId="6" type="noConversion"/>
  </si>
  <si>
    <t>缸行程</t>
    <phoneticPr fontId="6" type="noConversion"/>
  </si>
  <si>
    <t>HTPA18S8M250-A</t>
    <phoneticPr fontId="6" type="noConversion"/>
  </si>
  <si>
    <t>ESM125E-220V</t>
    <phoneticPr fontId="6" type="noConversion"/>
  </si>
  <si>
    <t>PCS</t>
    <phoneticPr fontId="6" type="noConversion"/>
  </si>
  <si>
    <r>
      <t>齒輪厚度</t>
    </r>
    <r>
      <rPr>
        <sz val="12"/>
        <rFont val="Century Gothic"/>
        <family val="2"/>
      </rPr>
      <t>,W</t>
    </r>
    <phoneticPr fontId="6" type="noConversion"/>
  </si>
  <si>
    <r>
      <t>齒輪直徑</t>
    </r>
    <r>
      <rPr>
        <sz val="12"/>
        <rFont val="Century Gothic"/>
        <family val="2"/>
      </rPr>
      <t>, PD</t>
    </r>
    <phoneticPr fontId="6" type="noConversion"/>
  </si>
  <si>
    <t>齒數</t>
    <phoneticPr fontId="6" type="noConversion"/>
  </si>
  <si>
    <t>時規皮帶輪</t>
    <phoneticPr fontId="6" type="noConversion"/>
  </si>
  <si>
    <t>額定回轉數</t>
    <phoneticPr fontId="6" type="noConversion"/>
  </si>
  <si>
    <t>額定轉矩</t>
    <phoneticPr fontId="6" type="noConversion"/>
  </si>
  <si>
    <r>
      <t>螺帽長度</t>
    </r>
    <r>
      <rPr>
        <sz val="12"/>
        <rFont val="Century Gothic"/>
        <family val="2"/>
      </rPr>
      <t>, L</t>
    </r>
    <phoneticPr fontId="6" type="noConversion"/>
  </si>
  <si>
    <r>
      <t>剛性</t>
    </r>
    <r>
      <rPr>
        <sz val="12"/>
        <rFont val="Century Gothic"/>
        <family val="2"/>
      </rPr>
      <t>, K(kg/um)</t>
    </r>
    <phoneticPr fontId="6" type="noConversion"/>
  </si>
  <si>
    <r>
      <t>靜額定負荷</t>
    </r>
    <r>
      <rPr>
        <sz val="12"/>
        <rFont val="Century Gothic"/>
        <family val="2"/>
      </rPr>
      <t>, Coa(kfg)</t>
    </r>
    <phoneticPr fontId="6" type="noConversion"/>
  </si>
  <si>
    <r>
      <t>動額定負荷</t>
    </r>
    <r>
      <rPr>
        <sz val="12"/>
        <rFont val="Century Gothic"/>
        <family val="2"/>
      </rPr>
      <t>, Ca(kgf)</t>
    </r>
    <phoneticPr fontId="6" type="noConversion"/>
  </si>
  <si>
    <r>
      <t>珠徑</t>
    </r>
    <r>
      <rPr>
        <sz val="12"/>
        <rFont val="Century Gothic"/>
        <family val="2"/>
      </rPr>
      <t>, Da(mm)</t>
    </r>
    <phoneticPr fontId="6" type="noConversion"/>
  </si>
  <si>
    <r>
      <t>螺桿螺距</t>
    </r>
    <r>
      <rPr>
        <sz val="12"/>
        <rFont val="Century Gothic"/>
        <family val="2"/>
      </rPr>
      <t>(mm)</t>
    </r>
    <phoneticPr fontId="6" type="noConversion"/>
  </si>
  <si>
    <r>
      <t>螺桿軸外徑</t>
    </r>
    <r>
      <rPr>
        <sz val="12"/>
        <rFont val="Century Gothic"/>
        <family val="2"/>
      </rPr>
      <t>(mm)</t>
    </r>
    <phoneticPr fontId="6" type="noConversion"/>
  </si>
  <si>
    <t>平台負載</t>
    <phoneticPr fontId="6" type="noConversion"/>
  </si>
  <si>
    <r>
      <rPr>
        <sz val="12"/>
        <rFont val="標楷體"/>
        <family val="4"/>
        <charset val="136"/>
      </rPr>
      <t>馬達扭力</t>
    </r>
    <r>
      <rPr>
        <sz val="12"/>
        <rFont val="Century Gothic"/>
        <family val="2"/>
      </rPr>
      <t xml:space="preserve">, </t>
    </r>
    <r>
      <rPr>
        <b/>
        <sz val="12"/>
        <rFont val="Century Gothic"/>
        <family val="2"/>
      </rPr>
      <t>T</t>
    </r>
    <r>
      <rPr>
        <b/>
        <vertAlign val="subscript"/>
        <sz val="12"/>
        <rFont val="Century Gothic"/>
        <family val="2"/>
      </rPr>
      <t>drive</t>
    </r>
    <phoneticPr fontId="6" type="noConversion"/>
  </si>
  <si>
    <r>
      <rPr>
        <sz val="12"/>
        <color indexed="8"/>
        <rFont val="標楷體"/>
        <family val="4"/>
        <charset val="136"/>
      </rPr>
      <t>螺桿側皮帶輪齒數</t>
    </r>
    <r>
      <rPr>
        <sz val="12"/>
        <color indexed="8"/>
        <rFont val="Century Gothic"/>
        <family val="2"/>
      </rPr>
      <t xml:space="preserve">, </t>
    </r>
    <r>
      <rPr>
        <b/>
        <sz val="12"/>
        <color indexed="8"/>
        <rFont val="Century Gothic"/>
        <family val="2"/>
      </rPr>
      <t>N</t>
    </r>
    <r>
      <rPr>
        <b/>
        <vertAlign val="subscript"/>
        <sz val="12"/>
        <color indexed="8"/>
        <rFont val="Century Gothic"/>
        <family val="2"/>
      </rPr>
      <t>2</t>
    </r>
    <phoneticPr fontId="6" type="noConversion"/>
  </si>
  <si>
    <r>
      <rPr>
        <sz val="12"/>
        <color indexed="8"/>
        <rFont val="標楷體"/>
        <family val="4"/>
        <charset val="136"/>
      </rPr>
      <t>馬達側皮帶輪齒數</t>
    </r>
    <r>
      <rPr>
        <sz val="12"/>
        <color indexed="8"/>
        <rFont val="Century Gothic"/>
        <family val="2"/>
      </rPr>
      <t xml:space="preserve">, </t>
    </r>
    <r>
      <rPr>
        <b/>
        <sz val="12"/>
        <color indexed="8"/>
        <rFont val="Century Gothic"/>
        <family val="2"/>
      </rPr>
      <t>N</t>
    </r>
    <r>
      <rPr>
        <b/>
        <vertAlign val="subscript"/>
        <sz val="12"/>
        <color indexed="8"/>
        <rFont val="Century Gothic"/>
        <family val="2"/>
      </rPr>
      <t>1</t>
    </r>
    <phoneticPr fontId="6" type="noConversion"/>
  </si>
  <si>
    <t>kgf-m</t>
    <phoneticPr fontId="6" type="noConversion"/>
  </si>
  <si>
    <r>
      <rPr>
        <sz val="12"/>
        <rFont val="標楷體"/>
        <family val="4"/>
        <charset val="136"/>
      </rPr>
      <t>軸</t>
    </r>
    <r>
      <rPr>
        <sz val="12"/>
        <rFont val="Century Gothic"/>
        <family val="2"/>
      </rPr>
      <t>-</t>
    </r>
    <r>
      <rPr>
        <sz val="12"/>
        <rFont val="標楷體"/>
        <family val="4"/>
        <charset val="136"/>
      </rPr>
      <t>淨輸入扭力</t>
    </r>
    <r>
      <rPr>
        <sz val="12"/>
        <rFont val="Century Gothic"/>
        <family val="2"/>
      </rPr>
      <t xml:space="preserve">, </t>
    </r>
    <r>
      <rPr>
        <b/>
        <sz val="12"/>
        <rFont val="Century Gothic"/>
        <family val="2"/>
      </rPr>
      <t>T</t>
    </r>
    <r>
      <rPr>
        <b/>
        <vertAlign val="subscript"/>
        <sz val="12"/>
        <rFont val="Century Gothic"/>
        <family val="2"/>
      </rPr>
      <t>axial</t>
    </r>
    <phoneticPr fontId="6" type="noConversion"/>
  </si>
  <si>
    <t>軸-淨輸入</t>
    <phoneticPr fontId="6" type="noConversion"/>
  </si>
  <si>
    <r>
      <t xml:space="preserve">螺桿傳動機械效率, </t>
    </r>
    <r>
      <rPr>
        <b/>
        <sz val="12"/>
        <rFont val="Calibri"/>
        <family val="2"/>
        <charset val="161"/>
      </rPr>
      <t>η</t>
    </r>
    <phoneticPr fontId="6" type="noConversion"/>
  </si>
  <si>
    <r>
      <rPr>
        <sz val="12"/>
        <color indexed="8"/>
        <rFont val="標楷體"/>
        <family val="4"/>
        <charset val="136"/>
      </rPr>
      <t>螺桿導程</t>
    </r>
    <r>
      <rPr>
        <sz val="12"/>
        <color indexed="8"/>
        <rFont val="Century Gothic"/>
        <family val="2"/>
      </rPr>
      <t xml:space="preserve">, </t>
    </r>
    <r>
      <rPr>
        <b/>
        <sz val="12"/>
        <color indexed="8"/>
        <rFont val="Century Gothic"/>
        <family val="2"/>
      </rPr>
      <t>P</t>
    </r>
    <r>
      <rPr>
        <b/>
        <vertAlign val="subscript"/>
        <sz val="12"/>
        <color indexed="8"/>
        <rFont val="Century Gothic"/>
        <family val="2"/>
      </rPr>
      <t>h</t>
    </r>
    <phoneticPr fontId="6" type="noConversion"/>
  </si>
  <si>
    <r>
      <rPr>
        <sz val="12"/>
        <rFont val="標楷體"/>
        <family val="4"/>
        <charset val="136"/>
      </rPr>
      <t>皮帶傳動效率</t>
    </r>
    <r>
      <rPr>
        <sz val="12"/>
        <rFont val="Century Gothic"/>
        <family val="2"/>
      </rPr>
      <t xml:space="preserve">, </t>
    </r>
    <r>
      <rPr>
        <b/>
        <sz val="12"/>
        <rFont val="Century Gothic"/>
        <family val="2"/>
      </rPr>
      <t>η</t>
    </r>
    <r>
      <rPr>
        <b/>
        <vertAlign val="subscript"/>
        <sz val="12"/>
        <rFont val="Century Gothic"/>
        <family val="2"/>
      </rPr>
      <t>pulley</t>
    </r>
    <r>
      <rPr>
        <b/>
        <sz val="12"/>
        <rFont val="Century Gothic"/>
        <family val="2"/>
      </rPr>
      <t xml:space="preserve"> </t>
    </r>
    <phoneticPr fontId="6" type="noConversion"/>
  </si>
  <si>
    <r>
      <rPr>
        <sz val="12"/>
        <rFont val="標楷體"/>
        <family val="4"/>
        <charset val="136"/>
      </rPr>
      <t>馬達額定轉速</t>
    </r>
    <r>
      <rPr>
        <sz val="12"/>
        <rFont val="Century Gothic"/>
        <family val="2"/>
      </rPr>
      <t xml:space="preserve">, </t>
    </r>
    <r>
      <rPr>
        <b/>
        <sz val="12"/>
        <rFont val="Century Gothic"/>
        <family val="2"/>
      </rPr>
      <t>R</t>
    </r>
    <r>
      <rPr>
        <b/>
        <vertAlign val="subscript"/>
        <sz val="12"/>
        <rFont val="Century Gothic"/>
        <family val="2"/>
      </rPr>
      <t>rpm</t>
    </r>
    <phoneticPr fontId="6" type="noConversion"/>
  </si>
  <si>
    <r>
      <rPr>
        <sz val="12"/>
        <rFont val="標楷體"/>
        <family val="4"/>
        <charset val="136"/>
      </rPr>
      <t>馬達額定扭力</t>
    </r>
    <r>
      <rPr>
        <sz val="12"/>
        <rFont val="Century Gothic"/>
        <family val="2"/>
      </rPr>
      <t xml:space="preserve">, </t>
    </r>
    <r>
      <rPr>
        <b/>
        <sz val="12"/>
        <rFont val="Century Gothic"/>
        <family val="2"/>
      </rPr>
      <t>T</t>
    </r>
    <r>
      <rPr>
        <b/>
        <vertAlign val="subscript"/>
        <sz val="12"/>
        <rFont val="Century Gothic"/>
        <family val="2"/>
      </rPr>
      <t>drive</t>
    </r>
    <phoneticPr fontId="6" type="noConversion"/>
  </si>
  <si>
    <r>
      <t>動額定負荷</t>
    </r>
    <r>
      <rPr>
        <sz val="12"/>
        <rFont val="Century Gothic"/>
        <family val="2"/>
      </rPr>
      <t xml:space="preserve">, </t>
    </r>
    <r>
      <rPr>
        <b/>
        <sz val="12"/>
        <rFont val="Century Gothic"/>
        <family val="2"/>
      </rPr>
      <t>C</t>
    </r>
    <r>
      <rPr>
        <b/>
        <vertAlign val="subscript"/>
        <sz val="12"/>
        <rFont val="Century Gothic"/>
        <family val="2"/>
      </rPr>
      <t>a</t>
    </r>
    <phoneticPr fontId="6" type="noConversion"/>
  </si>
  <si>
    <r>
      <rPr>
        <sz val="12"/>
        <rFont val="標楷體"/>
        <family val="4"/>
        <charset val="136"/>
      </rPr>
      <t>靜額定負荷</t>
    </r>
    <r>
      <rPr>
        <sz val="12"/>
        <rFont val="Century Gothic"/>
        <family val="2"/>
      </rPr>
      <t xml:space="preserve">, </t>
    </r>
    <r>
      <rPr>
        <b/>
        <sz val="12"/>
        <rFont val="Century Gothic"/>
        <family val="2"/>
      </rPr>
      <t>C</t>
    </r>
    <r>
      <rPr>
        <b/>
        <vertAlign val="subscript"/>
        <sz val="12"/>
        <rFont val="Century Gothic"/>
        <family val="2"/>
      </rPr>
      <t>oa</t>
    </r>
    <phoneticPr fontId="6" type="noConversion"/>
  </si>
  <si>
    <r>
      <rPr>
        <sz val="12"/>
        <rFont val="標楷體"/>
        <family val="4"/>
        <charset val="136"/>
      </rPr>
      <t>減速比</t>
    </r>
    <r>
      <rPr>
        <sz val="12"/>
        <rFont val="Century Gothic"/>
        <family val="2"/>
      </rPr>
      <t xml:space="preserve">(Slave/Drive), </t>
    </r>
    <r>
      <rPr>
        <b/>
        <sz val="12"/>
        <rFont val="Century Gothic"/>
        <family val="2"/>
      </rPr>
      <t>i</t>
    </r>
    <phoneticPr fontId="6" type="noConversion"/>
  </si>
  <si>
    <t>運行條件</t>
    <phoneticPr fontId="6" type="noConversion"/>
  </si>
  <si>
    <r>
      <rPr>
        <sz val="12"/>
        <rFont val="標楷體"/>
        <family val="4"/>
        <charset val="136"/>
      </rPr>
      <t>需求壽命</t>
    </r>
    <r>
      <rPr>
        <sz val="12"/>
        <rFont val="Century Gothic"/>
        <family val="2"/>
      </rPr>
      <t>, L</t>
    </r>
    <r>
      <rPr>
        <vertAlign val="subscript"/>
        <sz val="12"/>
        <rFont val="Century Gothic"/>
        <family val="2"/>
      </rPr>
      <t>T</t>
    </r>
    <phoneticPr fontId="6" type="noConversion"/>
  </si>
  <si>
    <t>HTPA32S8M250-A</t>
  </si>
  <si>
    <t>HTPA48S8M250-A</t>
  </si>
  <si>
    <t>SKF</t>
  </si>
  <si>
    <t>BRF030x06</t>
  </si>
  <si>
    <t>BRF030x10</t>
  </si>
  <si>
    <t>BRF030x20</t>
  </si>
  <si>
    <t>BRF036x06</t>
  </si>
  <si>
    <t>BRF036x09</t>
  </si>
  <si>
    <t>BRF036x12</t>
  </si>
  <si>
    <t>BRF036x18</t>
  </si>
  <si>
    <t>BRF036x24</t>
  </si>
  <si>
    <t>BRF039x10</t>
  </si>
  <si>
    <t>BRF039x20</t>
  </si>
  <si>
    <t>BRF048x10</t>
  </si>
  <si>
    <t>BRF048x20</t>
  </si>
  <si>
    <t>BRF056x12</t>
  </si>
  <si>
    <t>BRF056x24</t>
  </si>
  <si>
    <t>BRF060x10</t>
  </si>
  <si>
    <t>BRF060x20</t>
  </si>
  <si>
    <t>BRF064x12</t>
  </si>
  <si>
    <t>BRF064x24</t>
  </si>
  <si>
    <t>BRF075x10</t>
  </si>
  <si>
    <t>BRF075x20</t>
  </si>
  <si>
    <t>BRF080x12</t>
  </si>
  <si>
    <t>BRF080x18</t>
  </si>
  <si>
    <t>BRF080x24</t>
  </si>
  <si>
    <t>BRF099x20</t>
  </si>
  <si>
    <t>BRF100x24</t>
  </si>
  <si>
    <t>BRF120x24</t>
  </si>
  <si>
    <t>BRF120x25</t>
  </si>
  <si>
    <t>BRF150x25</t>
  </si>
  <si>
    <t>BRF150x36</t>
  </si>
  <si>
    <t>BRF180x30</t>
  </si>
  <si>
    <t>BRF210x30</t>
  </si>
  <si>
    <t>Rexroth</t>
  </si>
  <si>
    <t>PMI</t>
    <phoneticPr fontId="17" type="noConversion"/>
  </si>
  <si>
    <t>TBI</t>
  </si>
  <si>
    <t>BP016x05 SPPJ4281</t>
    <phoneticPr fontId="17" type="noConversion"/>
  </si>
  <si>
    <t>BRF030x05</t>
    <phoneticPr fontId="17" type="noConversion"/>
  </si>
  <si>
    <t>FDWE-050x20_6.35-3.5</t>
    <phoneticPr fontId="17" type="noConversion"/>
  </si>
  <si>
    <t>FDWE-050x20_6.35-5</t>
    <phoneticPr fontId="17" type="noConversion"/>
  </si>
  <si>
    <t>FEM-E-C-016x10R</t>
    <phoneticPr fontId="17" type="noConversion"/>
  </si>
  <si>
    <t>FEM-E-C-016x16Rx3-4</t>
    <phoneticPr fontId="17" type="noConversion"/>
  </si>
  <si>
    <t>FEM-E-C-020x05Rx3-4</t>
    <phoneticPr fontId="17" type="noConversion"/>
  </si>
  <si>
    <t>FEM-E-C-020x10Rx3-4</t>
    <phoneticPr fontId="17" type="noConversion"/>
  </si>
  <si>
    <t>FEM-E-C-020x20Rx3.5-2</t>
    <phoneticPr fontId="17" type="noConversion"/>
  </si>
  <si>
    <t>FEM-E-C025x05Rx3-4</t>
    <phoneticPr fontId="17" type="noConversion"/>
  </si>
  <si>
    <t>FEM-E-C025x10Rx3-4</t>
    <phoneticPr fontId="17" type="noConversion"/>
  </si>
  <si>
    <t>FEM-E-C025x25Rx3.5-2</t>
    <phoneticPr fontId="17" type="noConversion"/>
  </si>
  <si>
    <t>FEM-E-C032x05Rx3.5-4</t>
    <phoneticPr fontId="17" type="noConversion"/>
  </si>
  <si>
    <t>FEM-E-C032x10Rx3.969-5</t>
    <phoneticPr fontId="17" type="noConversion"/>
  </si>
  <si>
    <t>FEM-E-C032x20Rx3.969-2</t>
    <phoneticPr fontId="17" type="noConversion"/>
  </si>
  <si>
    <t>FEM-E-C032x32Rx3.969-2</t>
    <phoneticPr fontId="17" type="noConversion"/>
  </si>
  <si>
    <t>FEM-E-C040x05Rx3.5-5</t>
    <phoneticPr fontId="17" type="noConversion"/>
  </si>
  <si>
    <t>FEM-E-C040x10Rx6-4</t>
    <phoneticPr fontId="17" type="noConversion"/>
  </si>
  <si>
    <t>FEM-E-C040x10Rx6-6</t>
    <phoneticPr fontId="17" type="noConversion"/>
  </si>
  <si>
    <t>FEM-E-C040x20Rx6-3</t>
    <phoneticPr fontId="17" type="noConversion"/>
  </si>
  <si>
    <t>FEM-E-C040x40Rx6-2</t>
    <phoneticPr fontId="17" type="noConversion"/>
  </si>
  <si>
    <t>FEM-E-C050x05Rx3.5-5</t>
    <phoneticPr fontId="17" type="noConversion"/>
  </si>
  <si>
    <t>FEM-E-C050x10Rx6-6</t>
    <phoneticPr fontId="17" type="noConversion"/>
  </si>
  <si>
    <t>FEM-E-C050x16Rx6-6</t>
    <phoneticPr fontId="17" type="noConversion"/>
  </si>
  <si>
    <t>FEM-E-C050x20Rx6.5-3</t>
    <phoneticPr fontId="17" type="noConversion"/>
  </si>
  <si>
    <t>FEM-E-C050x40Rx6.5-2</t>
    <phoneticPr fontId="17" type="noConversion"/>
  </si>
  <si>
    <t>FEM-E-C063x10Rx6-6</t>
    <phoneticPr fontId="17" type="noConversion"/>
  </si>
  <si>
    <t>FEM-E-C063x20Rx6.5-3</t>
    <phoneticPr fontId="17" type="noConversion"/>
  </si>
  <si>
    <t>FOIC-025x05_4-3</t>
    <phoneticPr fontId="17" type="noConversion"/>
  </si>
  <si>
    <t>FOIC-025x06_3.969-3</t>
    <phoneticPr fontId="17" type="noConversion"/>
  </si>
  <si>
    <t>FOIC-025x08_3.969-3</t>
    <phoneticPr fontId="17" type="noConversion"/>
  </si>
  <si>
    <t>FOIC-025x10_4.762-2</t>
    <phoneticPr fontId="17" type="noConversion"/>
  </si>
  <si>
    <t>FOIC-025x10_4.762-3</t>
    <phoneticPr fontId="17" type="noConversion"/>
  </si>
  <si>
    <t>FOIC-028x06_3.175-3</t>
    <phoneticPr fontId="17" type="noConversion"/>
  </si>
  <si>
    <t>FOIC-028x10_3.175-2</t>
    <phoneticPr fontId="17" type="noConversion"/>
  </si>
  <si>
    <t>FOIC-032x06_3.969-3</t>
    <phoneticPr fontId="17" type="noConversion"/>
  </si>
  <si>
    <t>FOIC-032x06_3.969-4</t>
    <phoneticPr fontId="17" type="noConversion"/>
  </si>
  <si>
    <t>FOIC-032x10_6.35-3</t>
    <phoneticPr fontId="17" type="noConversion"/>
  </si>
  <si>
    <t>FOIC-032x12_6.35-3</t>
    <phoneticPr fontId="17" type="noConversion"/>
  </si>
  <si>
    <t>FOIC-040x05_3.175-6</t>
    <phoneticPr fontId="17" type="noConversion"/>
  </si>
  <si>
    <t>FOIC-040x10_6.35-3</t>
    <phoneticPr fontId="17" type="noConversion"/>
  </si>
  <si>
    <t>FOIC-040x10_6.35-4</t>
    <phoneticPr fontId="6" type="noConversion"/>
  </si>
  <si>
    <t>FOIC-040x12_6.35-4</t>
    <phoneticPr fontId="6" type="noConversion"/>
  </si>
  <si>
    <t>FOIC-050x10_6.35-3</t>
    <phoneticPr fontId="6" type="noConversion"/>
  </si>
  <si>
    <t>FOIC-050x10_6.35-4</t>
    <phoneticPr fontId="6" type="noConversion"/>
  </si>
  <si>
    <t>FOIC-063x10_6.35-4</t>
    <phoneticPr fontId="6" type="noConversion"/>
  </si>
  <si>
    <t>FOIC-063x12_7.938-3</t>
    <phoneticPr fontId="6" type="noConversion"/>
  </si>
  <si>
    <t>FOIC-063x12_7.938-4</t>
    <phoneticPr fontId="6" type="noConversion"/>
  </si>
  <si>
    <t>FOIC-063x20_9.525-2</t>
    <phoneticPr fontId="6" type="noConversion"/>
  </si>
  <si>
    <t>FOIC-080x10_6.35-3</t>
    <phoneticPr fontId="6" type="noConversion"/>
  </si>
  <si>
    <t>FOIC-080x16_9.525-2</t>
    <phoneticPr fontId="6" type="noConversion"/>
  </si>
  <si>
    <t>FOIC-080x20_9.525-3</t>
    <phoneticPr fontId="6" type="noConversion"/>
  </si>
  <si>
    <t>FSDC-016x05_3.175-3</t>
    <phoneticPr fontId="6" type="noConversion"/>
  </si>
  <si>
    <t>FSDC-020x10_3.175-3</t>
    <phoneticPr fontId="17" type="noConversion"/>
  </si>
  <si>
    <t>FSDC-020x10_4.762-4</t>
    <phoneticPr fontId="17" type="noConversion"/>
  </si>
  <si>
    <t>FSDC-020x20_3.175-2</t>
    <phoneticPr fontId="17" type="noConversion"/>
  </si>
  <si>
    <t>FSDC-025x10_3.175-3</t>
    <phoneticPr fontId="17" type="noConversion"/>
  </si>
  <si>
    <t>FSDC-025x10_4.762-4</t>
    <phoneticPr fontId="17" type="noConversion"/>
  </si>
  <si>
    <t>FSDC-025x10_6.35-5</t>
    <phoneticPr fontId="17" type="noConversion"/>
  </si>
  <si>
    <t>FSDC-025x15_3.175-3</t>
    <phoneticPr fontId="17" type="noConversion"/>
  </si>
  <si>
    <t>FSDC-025x16_4.762-4</t>
    <phoneticPr fontId="17" type="noConversion"/>
  </si>
  <si>
    <t>FSDC-025x25_3.969-2</t>
    <phoneticPr fontId="17" type="noConversion"/>
  </si>
  <si>
    <t>FSDC-028x10_4.762-3</t>
    <phoneticPr fontId="17" type="noConversion"/>
  </si>
  <si>
    <t>FSDC-028x10_6.35-5</t>
    <phoneticPr fontId="17" type="noConversion"/>
  </si>
  <si>
    <t>FSDC-032x10_3.969-4</t>
    <phoneticPr fontId="17" type="noConversion"/>
  </si>
  <si>
    <t>FSDC-032x10_4.762-5</t>
    <phoneticPr fontId="17" type="noConversion"/>
  </si>
  <si>
    <t>FSDC-032x10_5.556-5</t>
    <phoneticPr fontId="17" type="noConversion"/>
  </si>
  <si>
    <t>FSDC-032x10_6.35-5</t>
    <phoneticPr fontId="17" type="noConversion"/>
  </si>
  <si>
    <t>FSDC-032x15_4.762-5</t>
    <phoneticPr fontId="17" type="noConversion"/>
  </si>
  <si>
    <t>FSDC-032x16_5.556-5</t>
    <phoneticPr fontId="17" type="noConversion"/>
  </si>
  <si>
    <t>FSDC-032x16_6.35-5</t>
    <phoneticPr fontId="17" type="noConversion"/>
  </si>
  <si>
    <t>FSDC-032x20_4.762-2</t>
    <phoneticPr fontId="17" type="noConversion"/>
  </si>
  <si>
    <t>FSDC-036x10_6.35-5</t>
    <phoneticPr fontId="17" type="noConversion"/>
  </si>
  <si>
    <t>FSDC-036x16_6.35-5</t>
    <phoneticPr fontId="17" type="noConversion"/>
  </si>
  <si>
    <t>FSDC-036x20_6.35-4</t>
    <phoneticPr fontId="17" type="noConversion"/>
  </si>
  <si>
    <t>FSDC-038x10_6.35-5</t>
    <phoneticPr fontId="17" type="noConversion"/>
  </si>
  <si>
    <t>FSDC-038x16_6.35-5</t>
    <phoneticPr fontId="17" type="noConversion"/>
  </si>
  <si>
    <t>FSDC-040x10_6.35-5</t>
    <phoneticPr fontId="17" type="noConversion"/>
  </si>
  <si>
    <t>FSDC-040x12_6.35-5</t>
    <phoneticPr fontId="17" type="noConversion"/>
  </si>
  <si>
    <t>FSDC-040x12_7.144-5</t>
    <phoneticPr fontId="17" type="noConversion"/>
  </si>
  <si>
    <t>FSDC-040x16_6.35-5</t>
    <phoneticPr fontId="17" type="noConversion"/>
  </si>
  <si>
    <t>FSDC-040x16_7.144-5</t>
    <phoneticPr fontId="17" type="noConversion"/>
  </si>
  <si>
    <t>FSDC-040x20_6.35-5</t>
    <phoneticPr fontId="17" type="noConversion"/>
  </si>
  <si>
    <t>FSDC-045x10_6.35-5</t>
    <phoneticPr fontId="6" type="noConversion"/>
  </si>
  <si>
    <t>FSDC-045x12_6.35-5</t>
    <phoneticPr fontId="17" type="noConversion"/>
  </si>
  <si>
    <t>FSDC-045x16_6.35-5</t>
    <phoneticPr fontId="6" type="noConversion"/>
  </si>
  <si>
    <t>FSDC-050x10_6.35-5</t>
    <phoneticPr fontId="6" type="noConversion"/>
  </si>
  <si>
    <t>FSDC-050x12_6.35-5</t>
    <phoneticPr fontId="6" type="noConversion"/>
  </si>
  <si>
    <t>FSDC-050x16_6.35-5</t>
    <phoneticPr fontId="6" type="noConversion"/>
  </si>
  <si>
    <t>FSDC-050x20_7.938-4</t>
    <phoneticPr fontId="6" type="noConversion"/>
  </si>
  <si>
    <t>FSDC-055x12_6.35-5</t>
    <phoneticPr fontId="6" type="noConversion"/>
  </si>
  <si>
    <t>FSDH-045x12</t>
    <phoneticPr fontId="17" type="noConversion"/>
  </si>
  <si>
    <t>FSDH-045x16</t>
    <phoneticPr fontId="17" type="noConversion"/>
  </si>
  <si>
    <t>FSDH-045x20</t>
    <phoneticPr fontId="17" type="noConversion"/>
  </si>
  <si>
    <t>FSDH-050x16</t>
    <phoneticPr fontId="17" type="noConversion"/>
  </si>
  <si>
    <t>FSDH-050x20</t>
    <phoneticPr fontId="17" type="noConversion"/>
  </si>
  <si>
    <t>FSDH-063x32</t>
    <phoneticPr fontId="17" type="noConversion"/>
  </si>
  <si>
    <t>FSDH-063x40</t>
    <phoneticPr fontId="17" type="noConversion"/>
  </si>
  <si>
    <t>FSDH-080x50</t>
    <phoneticPr fontId="17" type="noConversion"/>
  </si>
  <si>
    <t>FSDH-100x60</t>
    <phoneticPr fontId="17" type="noConversion"/>
  </si>
  <si>
    <t>FSVH-040x10_7.938-3.5</t>
    <phoneticPr fontId="17" type="noConversion"/>
  </si>
  <si>
    <t>FSVH-040x12-9.525-3.5</t>
    <phoneticPr fontId="17" type="noConversion"/>
  </si>
  <si>
    <t>FSVH-050x10_7.938-3.5</t>
    <phoneticPr fontId="17" type="noConversion"/>
  </si>
  <si>
    <t>FSVH-050x16_12.7-3.5</t>
    <phoneticPr fontId="17" type="noConversion"/>
  </si>
  <si>
    <t>FSVH-050x16_12.7-6</t>
    <phoneticPr fontId="17" type="noConversion"/>
  </si>
  <si>
    <t>FSVH-050x20-12.7-3.5</t>
    <phoneticPr fontId="17" type="noConversion"/>
  </si>
  <si>
    <t>FSVH-055x10_7.938-3.5</t>
    <phoneticPr fontId="17" type="noConversion"/>
  </si>
  <si>
    <t>FSVH-055x16_12.7-3.5</t>
    <phoneticPr fontId="17" type="noConversion"/>
  </si>
  <si>
    <t>FSVH-055x16_12.7-6</t>
    <phoneticPr fontId="17" type="noConversion"/>
  </si>
  <si>
    <t>FSVH-063x20_15.875-2.5</t>
    <phoneticPr fontId="17" type="noConversion"/>
  </si>
  <si>
    <t>FSVH-063x20_15.875-3.5</t>
    <phoneticPr fontId="17" type="noConversion"/>
  </si>
  <si>
    <t>FSVH-063x25_15.875-2.5</t>
    <phoneticPr fontId="17" type="noConversion"/>
  </si>
  <si>
    <t>FSVH-080x16_12.7-3.5</t>
    <phoneticPr fontId="17" type="noConversion"/>
  </si>
  <si>
    <t>FSVH-080x16_12.7-6</t>
    <phoneticPr fontId="17" type="noConversion"/>
  </si>
  <si>
    <t>FSVH-080x20_15.875-3.5</t>
    <phoneticPr fontId="17" type="noConversion"/>
  </si>
  <si>
    <t>FSVH-080x20_15.875-6</t>
    <phoneticPr fontId="17" type="noConversion"/>
  </si>
  <si>
    <t>FSVH-080x25_19.05-3.5</t>
    <phoneticPr fontId="17" type="noConversion"/>
  </si>
  <si>
    <t>FSVH-080x25_19.05-6</t>
    <phoneticPr fontId="17" type="noConversion"/>
  </si>
  <si>
    <t>FSWC-045x10_2.5-3</t>
    <phoneticPr fontId="17" type="noConversion"/>
  </si>
  <si>
    <t>FSWC-045x12_2.5-3</t>
    <phoneticPr fontId="17" type="noConversion"/>
  </si>
  <si>
    <t>FSWC-050x10_2.5-3</t>
    <phoneticPr fontId="17" type="noConversion"/>
  </si>
  <si>
    <t>FSWW-020x10_4.762-2.5</t>
    <phoneticPr fontId="17" type="noConversion"/>
  </si>
  <si>
    <t>FSWW-025x10_4.762-2.5</t>
    <phoneticPr fontId="17" type="noConversion"/>
  </si>
  <si>
    <t>FSWW-025x10_6.35-2.5</t>
    <phoneticPr fontId="17" type="noConversion"/>
  </si>
  <si>
    <t>FSWW-040x10_6.35-2.5</t>
    <phoneticPr fontId="17" type="noConversion"/>
  </si>
  <si>
    <t>HBN-040x10-7.5</t>
    <phoneticPr fontId="17" type="noConversion"/>
  </si>
  <si>
    <t>HBN-040x12-7.5</t>
    <phoneticPr fontId="17" type="noConversion"/>
  </si>
  <si>
    <t>HBN-050x16-7.5</t>
    <phoneticPr fontId="17" type="noConversion"/>
  </si>
  <si>
    <t>HRC-150x20</t>
    <phoneticPr fontId="17" type="noConversion"/>
  </si>
  <si>
    <t>HRC-180x20</t>
    <phoneticPr fontId="17" type="noConversion"/>
  </si>
  <si>
    <t>HRC-180x30</t>
    <phoneticPr fontId="17" type="noConversion"/>
  </si>
  <si>
    <t>HRC-210x20</t>
    <phoneticPr fontId="17" type="noConversion"/>
  </si>
  <si>
    <t>HRC-240x25</t>
    <phoneticPr fontId="17" type="noConversion"/>
  </si>
  <si>
    <t>HTF-SRC-050x14-7.5</t>
    <phoneticPr fontId="17" type="noConversion"/>
  </si>
  <si>
    <t>HTF-SRC-050x16-7.5</t>
    <phoneticPr fontId="17" type="noConversion"/>
  </si>
  <si>
    <t>HTF-SRD-050x40-6E</t>
    <phoneticPr fontId="17" type="noConversion"/>
  </si>
  <si>
    <t>HTF-SRD-063x32-4E</t>
    <phoneticPr fontId="17" type="noConversion"/>
  </si>
  <si>
    <t>PLSA-030x10</t>
    <phoneticPr fontId="17" type="noConversion"/>
  </si>
  <si>
    <t>PLSA-039x10</t>
    <phoneticPr fontId="17" type="noConversion"/>
  </si>
  <si>
    <t>PLSA-048x10</t>
    <phoneticPr fontId="17" type="noConversion"/>
  </si>
  <si>
    <t>PLSA-060x10</t>
    <phoneticPr fontId="17" type="noConversion"/>
  </si>
  <si>
    <t>PLSA-060x20</t>
    <phoneticPr fontId="17" type="noConversion"/>
  </si>
  <si>
    <t>PLSA-075x10</t>
    <phoneticPr fontId="17" type="noConversion"/>
  </si>
  <si>
    <t>PLSA-075x20</t>
    <phoneticPr fontId="17" type="noConversion"/>
  </si>
  <si>
    <t>SFV-032x10-4.8</t>
    <phoneticPr fontId="17" type="noConversion"/>
  </si>
  <si>
    <t>SFV-032x20-2.7</t>
    <phoneticPr fontId="17" type="noConversion"/>
  </si>
  <si>
    <t>SFV-040x10-4.8</t>
    <phoneticPr fontId="17" type="noConversion"/>
  </si>
  <si>
    <t>SFV-040x20-2.7</t>
    <phoneticPr fontId="17" type="noConversion"/>
  </si>
  <si>
    <t>SFV-050x10-4.8</t>
    <phoneticPr fontId="17" type="noConversion"/>
  </si>
  <si>
    <t>SFV-050x20-2.7</t>
    <phoneticPr fontId="17" type="noConversion"/>
  </si>
  <si>
    <t>SFV-063x10-2.7</t>
    <phoneticPr fontId="17" type="noConversion"/>
  </si>
  <si>
    <t>ZEM-E-S-016x5Rx3-4</t>
    <phoneticPr fontId="17" type="noConversion"/>
  </si>
  <si>
    <t>ZEM-E-S-020x10Rx3-4</t>
    <phoneticPr fontId="17" type="noConversion"/>
  </si>
  <si>
    <t>FSDC-020x10_4.762-4</t>
  </si>
  <si>
    <t>110MB040A-001000</t>
    <phoneticPr fontId="17" type="noConversion"/>
  </si>
  <si>
    <t>SYNTRON</t>
    <phoneticPr fontId="17" type="noConversion"/>
  </si>
  <si>
    <t>110MB060D-001000</t>
    <phoneticPr fontId="17" type="noConversion"/>
  </si>
  <si>
    <t>110MB075B-001000</t>
    <phoneticPr fontId="17" type="noConversion"/>
  </si>
  <si>
    <t>110MB075D-001000</t>
    <phoneticPr fontId="17" type="noConversion"/>
  </si>
  <si>
    <t>110MB200C-R58B11</t>
    <phoneticPr fontId="6" type="noConversion"/>
  </si>
  <si>
    <t>HS200AE</t>
    <phoneticPr fontId="17" type="noConversion"/>
  </si>
  <si>
    <t>130MB300C-R48B11</t>
    <phoneticPr fontId="6" type="noConversion"/>
  </si>
  <si>
    <t>HS300AE</t>
    <phoneticPr fontId="17" type="noConversion"/>
  </si>
  <si>
    <t>ESM060A</t>
    <phoneticPr fontId="6" type="noConversion"/>
  </si>
  <si>
    <t>HPB</t>
    <phoneticPr fontId="17" type="noConversion"/>
  </si>
  <si>
    <t>ESM085A</t>
    <phoneticPr fontId="6" type="noConversion"/>
  </si>
  <si>
    <t>ESM085B</t>
    <phoneticPr fontId="6" type="noConversion"/>
  </si>
  <si>
    <t>ESM085D</t>
    <phoneticPr fontId="6" type="noConversion"/>
  </si>
  <si>
    <t>Mitsubishi</t>
    <phoneticPr fontId="17" type="noConversion"/>
  </si>
  <si>
    <t>HF-SP 702(B)</t>
    <phoneticPr fontId="18" type="noConversion"/>
  </si>
  <si>
    <t>HG-JR103(B)_200V</t>
    <phoneticPr fontId="18" type="noConversion"/>
  </si>
  <si>
    <t>MR-J4-100A/B</t>
    <phoneticPr fontId="6" type="noConversion"/>
  </si>
  <si>
    <t>HG-JR153(B)_200V</t>
    <phoneticPr fontId="18" type="noConversion"/>
  </si>
  <si>
    <t>MR-J4-200A/B</t>
    <phoneticPr fontId="6" type="noConversion"/>
  </si>
  <si>
    <t>HG-JR203(B)_200V</t>
    <phoneticPr fontId="18" type="noConversion"/>
  </si>
  <si>
    <t>HG-JR353(B)_200V</t>
    <phoneticPr fontId="18" type="noConversion"/>
  </si>
  <si>
    <t>MR-J4-350A/B</t>
    <phoneticPr fontId="6" type="noConversion"/>
  </si>
  <si>
    <t>HG-JR503(B)_200V</t>
    <phoneticPr fontId="18" type="noConversion"/>
  </si>
  <si>
    <t>MR-J4-500A/B</t>
    <phoneticPr fontId="6" type="noConversion"/>
  </si>
  <si>
    <t>HG-JR53(B)</t>
    <phoneticPr fontId="18" type="noConversion"/>
  </si>
  <si>
    <t>MR-J4-60A/B</t>
    <phoneticPr fontId="6" type="noConversion"/>
  </si>
  <si>
    <t>HG-JR703(B)_200V</t>
    <phoneticPr fontId="18" type="noConversion"/>
  </si>
  <si>
    <t>MR-J4-700A/B</t>
    <phoneticPr fontId="6" type="noConversion"/>
  </si>
  <si>
    <t>HG-JR73(B)</t>
    <phoneticPr fontId="18" type="noConversion"/>
  </si>
  <si>
    <t>MR-J4-70A/B</t>
    <phoneticPr fontId="6" type="noConversion"/>
  </si>
  <si>
    <t>HG-JR903(B)_200V</t>
    <phoneticPr fontId="18" type="noConversion"/>
  </si>
  <si>
    <t>MR-J4-11KA/B</t>
    <phoneticPr fontId="6" type="noConversion"/>
  </si>
  <si>
    <t>HG-KN43B-K(B)</t>
    <phoneticPr fontId="6" type="noConversion"/>
  </si>
  <si>
    <t>HG-KR053(B)</t>
    <phoneticPr fontId="18" type="noConversion"/>
  </si>
  <si>
    <t>MR-J4-10A/B</t>
    <phoneticPr fontId="6" type="noConversion"/>
  </si>
  <si>
    <t>HG-KR13(B)</t>
    <phoneticPr fontId="18" type="noConversion"/>
  </si>
  <si>
    <t>HG-KR23(B)</t>
    <phoneticPr fontId="18" type="noConversion"/>
  </si>
  <si>
    <t>MR-J4-20A/B</t>
    <phoneticPr fontId="6" type="noConversion"/>
  </si>
  <si>
    <t>HG-KR43(B)</t>
    <phoneticPr fontId="18" type="noConversion"/>
  </si>
  <si>
    <t>MR-J4-40A/B</t>
    <phoneticPr fontId="6" type="noConversion"/>
  </si>
  <si>
    <t>HG-KR73(B)</t>
    <phoneticPr fontId="18" type="noConversion"/>
  </si>
  <si>
    <t>HG-MR053(B)</t>
    <phoneticPr fontId="18" type="noConversion"/>
  </si>
  <si>
    <t>HG-MR13(B)</t>
    <phoneticPr fontId="18" type="noConversion"/>
  </si>
  <si>
    <t>HG-MR23(B)</t>
    <phoneticPr fontId="18" type="noConversion"/>
  </si>
  <si>
    <t>HG-MR43(B)</t>
    <phoneticPr fontId="18" type="noConversion"/>
  </si>
  <si>
    <t>HG-MR73(B)</t>
    <phoneticPr fontId="18" type="noConversion"/>
  </si>
  <si>
    <t>HG-SR102(B)</t>
    <phoneticPr fontId="18" type="noConversion"/>
  </si>
  <si>
    <t>HG-SR121(B)</t>
    <phoneticPr fontId="18" type="noConversion"/>
  </si>
  <si>
    <t>HG-SR152(B)</t>
    <phoneticPr fontId="18" type="noConversion"/>
  </si>
  <si>
    <t>HG-SR201(B)</t>
    <phoneticPr fontId="18" type="noConversion"/>
  </si>
  <si>
    <t>HG-SR202(B)</t>
    <phoneticPr fontId="18" type="noConversion"/>
  </si>
  <si>
    <t>HG-SR301(B)</t>
    <phoneticPr fontId="18" type="noConversion"/>
  </si>
  <si>
    <t>HG-SR352(B)</t>
    <phoneticPr fontId="18" type="noConversion"/>
  </si>
  <si>
    <t>HG-SR421(B)</t>
    <phoneticPr fontId="18" type="noConversion"/>
  </si>
  <si>
    <t>HG-SR502(B)</t>
    <phoneticPr fontId="18" type="noConversion"/>
  </si>
  <si>
    <t>HG-SR51(B)</t>
    <phoneticPr fontId="18" type="noConversion"/>
  </si>
  <si>
    <t>HG-SR52(B)</t>
    <phoneticPr fontId="18" type="noConversion"/>
  </si>
  <si>
    <t>HG-SR702(B)</t>
    <phoneticPr fontId="18" type="noConversion"/>
  </si>
  <si>
    <t>HG-SR81(B)</t>
    <phoneticPr fontId="18" type="noConversion"/>
  </si>
  <si>
    <t>PM078-30</t>
    <phoneticPr fontId="6" type="noConversion"/>
  </si>
  <si>
    <t>PM102-30</t>
    <phoneticPr fontId="6" type="noConversion"/>
  </si>
  <si>
    <t>PM103-30</t>
    <phoneticPr fontId="6" type="noConversion"/>
  </si>
  <si>
    <t>PM104-30</t>
    <phoneticPr fontId="6" type="noConversion"/>
  </si>
  <si>
    <t>PM105-30</t>
    <phoneticPr fontId="6" type="noConversion"/>
  </si>
  <si>
    <t>PM106-30</t>
    <phoneticPr fontId="6" type="noConversion"/>
  </si>
  <si>
    <t>PM108-30</t>
    <phoneticPr fontId="6" type="noConversion"/>
  </si>
  <si>
    <t>PM109-30</t>
    <phoneticPr fontId="6" type="noConversion"/>
  </si>
  <si>
    <t>PM132-30</t>
    <phoneticPr fontId="6" type="noConversion"/>
  </si>
  <si>
    <t>PM133-30</t>
    <phoneticPr fontId="6" type="noConversion"/>
  </si>
  <si>
    <t>PM134-30</t>
    <phoneticPr fontId="6" type="noConversion"/>
  </si>
  <si>
    <t>PM135-30</t>
    <phoneticPr fontId="6" type="noConversion"/>
  </si>
  <si>
    <t>PM136-30</t>
    <phoneticPr fontId="6" type="noConversion"/>
  </si>
  <si>
    <t>PM137-30</t>
    <phoneticPr fontId="6" type="noConversion"/>
  </si>
  <si>
    <t>PM138-30</t>
    <phoneticPr fontId="6" type="noConversion"/>
  </si>
  <si>
    <t>PMA078-30-ES</t>
    <phoneticPr fontId="6" type="noConversion"/>
  </si>
  <si>
    <t>PMA102-30</t>
    <phoneticPr fontId="6" type="noConversion"/>
  </si>
  <si>
    <t>PMA103-15</t>
    <phoneticPr fontId="6" type="noConversion"/>
  </si>
  <si>
    <t>PMA103-30</t>
    <phoneticPr fontId="6" type="noConversion"/>
  </si>
  <si>
    <t>SME-L00520SDBU</t>
    <phoneticPr fontId="17" type="noConversion"/>
  </si>
  <si>
    <t>Shihlin</t>
    <phoneticPr fontId="17" type="noConversion"/>
  </si>
  <si>
    <t>SME-L01020SDBU</t>
    <phoneticPr fontId="17" type="noConversion"/>
  </si>
  <si>
    <t>SME-L02020SDBU</t>
    <phoneticPr fontId="17" type="noConversion"/>
  </si>
  <si>
    <t>SME-L04020SDBU</t>
    <phoneticPr fontId="17" type="noConversion"/>
  </si>
  <si>
    <t>SME-L07520SDBU</t>
    <phoneticPr fontId="17" type="noConversion"/>
  </si>
  <si>
    <t>SME-L10020SDBU</t>
    <phoneticPr fontId="17" type="noConversion"/>
  </si>
  <si>
    <t>SME-L15020SDBU</t>
    <phoneticPr fontId="17" type="noConversion"/>
  </si>
  <si>
    <t>SME-L20020SDBU</t>
    <phoneticPr fontId="17" type="noConversion"/>
  </si>
  <si>
    <t>SME-L30020SDBU</t>
    <phoneticPr fontId="17" type="noConversion"/>
  </si>
  <si>
    <t>SDE-010A2U</t>
    <phoneticPr fontId="17" type="noConversion"/>
  </si>
  <si>
    <t>SDE-020A2U</t>
    <phoneticPr fontId="17" type="noConversion"/>
  </si>
  <si>
    <t>SDE-040A2U</t>
    <phoneticPr fontId="17" type="noConversion"/>
  </si>
  <si>
    <t>SDE-075A2U</t>
    <phoneticPr fontId="17" type="noConversion"/>
  </si>
  <si>
    <t>SDE-100A2U</t>
    <phoneticPr fontId="17" type="noConversion"/>
  </si>
  <si>
    <t>SDE-150A2U</t>
    <phoneticPr fontId="17" type="noConversion"/>
  </si>
  <si>
    <t>SDE-200A2U</t>
    <phoneticPr fontId="17" type="noConversion"/>
  </si>
  <si>
    <t>SDE-300A2U</t>
    <phoneticPr fontId="17" type="noConversion"/>
  </si>
  <si>
    <t>110MB200C-R58B11</t>
  </si>
  <si>
    <t>FSDC-025x10_6.35-5</t>
  </si>
  <si>
    <t>SME-L20020SDBU</t>
    <phoneticPr fontId="6" type="noConversion"/>
  </si>
  <si>
    <r>
      <t>所需動額定負荷</t>
    </r>
    <r>
      <rPr>
        <sz val="12"/>
        <rFont val="Century Gothic"/>
        <family val="2"/>
      </rPr>
      <t>, C</t>
    </r>
    <r>
      <rPr>
        <vertAlign val="subscript"/>
        <sz val="12"/>
        <rFont val="Century Gothic"/>
        <family val="2"/>
      </rPr>
      <t>ac</t>
    </r>
    <phoneticPr fontId="6" type="noConversion"/>
  </si>
  <si>
    <r>
      <rPr>
        <sz val="12"/>
        <rFont val="標楷體"/>
        <family val="4"/>
        <charset val="136"/>
      </rPr>
      <t>最快速度要求</t>
    </r>
    <r>
      <rPr>
        <sz val="12"/>
        <rFont val="Century Gothic"/>
        <family val="2"/>
      </rPr>
      <t>,v</t>
    </r>
    <r>
      <rPr>
        <vertAlign val="subscript"/>
        <sz val="12"/>
        <rFont val="Century Gothic"/>
        <family val="2"/>
      </rPr>
      <t>max</t>
    </r>
    <phoneticPr fontId="6" type="noConversion"/>
  </si>
  <si>
    <r>
      <rPr>
        <sz val="12"/>
        <rFont val="標楷體"/>
        <family val="4"/>
        <charset val="136"/>
      </rPr>
      <t>最高額定速度</t>
    </r>
    <r>
      <rPr>
        <sz val="12"/>
        <rFont val="Century Gothic"/>
        <family val="2"/>
      </rPr>
      <t>, V</t>
    </r>
    <r>
      <rPr>
        <vertAlign val="subscript"/>
        <sz val="12"/>
        <rFont val="Century Gothic"/>
        <family val="2"/>
      </rPr>
      <t>rated</t>
    </r>
    <phoneticPr fontId="6" type="noConversion"/>
  </si>
  <si>
    <r>
      <rPr>
        <sz val="12"/>
        <rFont val="標楷體"/>
        <family val="4"/>
        <charset val="136"/>
      </rPr>
      <t>軸向負荷</t>
    </r>
    <r>
      <rPr>
        <sz val="12"/>
        <rFont val="Century Gothic"/>
        <family val="2"/>
      </rPr>
      <t>, F</t>
    </r>
    <r>
      <rPr>
        <vertAlign val="subscript"/>
        <sz val="12"/>
        <rFont val="Century Gothic"/>
        <family val="2"/>
      </rPr>
      <t>i</t>
    </r>
    <r>
      <rPr>
        <sz val="12"/>
        <rFont val="Century Gothic"/>
        <family val="2"/>
      </rPr>
      <t>(N)</t>
    </r>
    <phoneticPr fontId="6" type="noConversion"/>
  </si>
  <si>
    <r>
      <t>回轉數</t>
    </r>
    <r>
      <rPr>
        <sz val="12"/>
        <rFont val="Century Gothic"/>
        <family val="2"/>
      </rPr>
      <t>, n</t>
    </r>
    <r>
      <rPr>
        <vertAlign val="subscript"/>
        <sz val="12"/>
        <rFont val="Century Gothic"/>
        <family val="2"/>
      </rPr>
      <t>i</t>
    </r>
    <r>
      <rPr>
        <sz val="12"/>
        <rFont val="Century Gothic"/>
        <family val="2"/>
      </rPr>
      <t>(rpm)</t>
    </r>
    <phoneticPr fontId="6" type="noConversion"/>
  </si>
  <si>
    <r>
      <t>使用時間</t>
    </r>
    <r>
      <rPr>
        <sz val="12"/>
        <rFont val="Century Gothic"/>
        <family val="2"/>
      </rPr>
      <t>, t</t>
    </r>
    <r>
      <rPr>
        <vertAlign val="subscript"/>
        <sz val="12"/>
        <rFont val="Century Gothic"/>
        <family val="2"/>
      </rPr>
      <t>i</t>
    </r>
    <r>
      <rPr>
        <sz val="12"/>
        <rFont val="Century Gothic"/>
        <family val="2"/>
      </rPr>
      <t>(%)</t>
    </r>
    <phoneticPr fontId="6" type="noConversion"/>
  </si>
  <si>
    <r>
      <rPr>
        <sz val="12"/>
        <rFont val="標楷體"/>
        <family val="4"/>
        <charset val="136"/>
      </rPr>
      <t>向上定速階段</t>
    </r>
    <r>
      <rPr>
        <sz val="12"/>
        <rFont val="Century Gothic"/>
        <family val="2"/>
      </rPr>
      <t xml:space="preserve"> (</t>
    </r>
    <r>
      <rPr>
        <sz val="12"/>
        <rFont val="標楷體"/>
        <family val="4"/>
        <charset val="136"/>
      </rPr>
      <t>持續</t>
    </r>
    <r>
      <rPr>
        <sz val="12"/>
        <rFont val="Century Gothic"/>
        <family val="2"/>
      </rPr>
      <t xml:space="preserve"> t</t>
    </r>
    <r>
      <rPr>
        <vertAlign val="subscript"/>
        <sz val="12"/>
        <rFont val="Century Gothic"/>
        <family val="2"/>
      </rPr>
      <t>2</t>
    </r>
    <r>
      <rPr>
        <sz val="12"/>
        <rFont val="標楷體"/>
        <family val="4"/>
        <charset val="136"/>
      </rPr>
      <t>，加速度</t>
    </r>
    <r>
      <rPr>
        <sz val="12"/>
        <rFont val="Century Gothic"/>
        <family val="2"/>
      </rPr>
      <t xml:space="preserve"> 0)</t>
    </r>
    <r>
      <rPr>
        <sz val="12"/>
        <rFont val="標楷體"/>
        <family val="4"/>
        <charset val="136"/>
      </rPr>
      <t>：</t>
    </r>
    <r>
      <rPr>
        <sz val="12"/>
        <rFont val="Century Gothic"/>
        <family val="2"/>
      </rPr>
      <t>F</t>
    </r>
    <r>
      <rPr>
        <vertAlign val="subscript"/>
        <sz val="12"/>
        <rFont val="Century Gothic"/>
        <family val="2"/>
      </rPr>
      <t>2</t>
    </r>
    <r>
      <rPr>
        <sz val="12"/>
        <rFont val="Century Gothic"/>
        <family val="2"/>
      </rPr>
      <t xml:space="preserve"> = m*g*sin(theta*pi()/180) + mu*m*g*cos(theta*pi()/180)</t>
    </r>
    <phoneticPr fontId="6" type="noConversion"/>
  </si>
  <si>
    <r>
      <rPr>
        <sz val="12"/>
        <rFont val="標楷體"/>
        <family val="4"/>
        <charset val="136"/>
      </rPr>
      <t>向上加速階段</t>
    </r>
    <r>
      <rPr>
        <sz val="12"/>
        <rFont val="Century Gothic"/>
        <family val="4"/>
      </rPr>
      <t xml:space="preserve"> (</t>
    </r>
    <r>
      <rPr>
        <sz val="12"/>
        <rFont val="標楷體"/>
        <family val="4"/>
        <charset val="136"/>
      </rPr>
      <t>持續</t>
    </r>
    <r>
      <rPr>
        <sz val="12"/>
        <rFont val="Century Gothic"/>
        <family val="2"/>
      </rPr>
      <t xml:space="preserve"> t</t>
    </r>
    <r>
      <rPr>
        <vertAlign val="subscript"/>
        <sz val="12"/>
        <rFont val="Century Gothic"/>
        <family val="2"/>
      </rPr>
      <t>1</t>
    </r>
    <r>
      <rPr>
        <sz val="12"/>
        <rFont val="標楷體"/>
        <family val="4"/>
        <charset val="136"/>
      </rPr>
      <t>，加速度</t>
    </r>
    <r>
      <rPr>
        <sz val="12"/>
        <rFont val="Century Gothic"/>
        <family val="2"/>
      </rPr>
      <t xml:space="preserve"> +a)</t>
    </r>
    <r>
      <rPr>
        <sz val="12"/>
        <rFont val="標楷體"/>
        <family val="4"/>
        <charset val="136"/>
      </rPr>
      <t>：</t>
    </r>
    <r>
      <rPr>
        <sz val="12"/>
        <rFont val="Century Gothic"/>
        <family val="2"/>
      </rPr>
      <t>F</t>
    </r>
    <r>
      <rPr>
        <vertAlign val="subscript"/>
        <sz val="12"/>
        <rFont val="Century Gothic"/>
        <family val="2"/>
      </rPr>
      <t>1</t>
    </r>
    <r>
      <rPr>
        <sz val="12"/>
        <rFont val="Century Gothic"/>
        <family val="2"/>
      </rPr>
      <t xml:space="preserve"> = m*g*sin(theta*pi()/180) + mu*m*g*cos(theta*pi()/180) + m*a</t>
    </r>
    <phoneticPr fontId="6" type="noConversion"/>
  </si>
  <si>
    <r>
      <rPr>
        <sz val="12"/>
        <rFont val="標楷體"/>
        <family val="4"/>
        <charset val="136"/>
      </rPr>
      <t>向上減速階段</t>
    </r>
    <r>
      <rPr>
        <sz val="12"/>
        <rFont val="Century Gothic"/>
        <family val="2"/>
      </rPr>
      <t xml:space="preserve"> (</t>
    </r>
    <r>
      <rPr>
        <sz val="12"/>
        <rFont val="標楷體"/>
        <family val="4"/>
        <charset val="136"/>
      </rPr>
      <t>持續</t>
    </r>
    <r>
      <rPr>
        <sz val="12"/>
        <rFont val="Century Gothic"/>
        <family val="2"/>
      </rPr>
      <t xml:space="preserve"> t</t>
    </r>
    <r>
      <rPr>
        <vertAlign val="subscript"/>
        <sz val="12"/>
        <rFont val="Century Gothic"/>
        <family val="2"/>
      </rPr>
      <t>3</t>
    </r>
    <r>
      <rPr>
        <sz val="12"/>
        <rFont val="標楷體"/>
        <family val="4"/>
        <charset val="136"/>
      </rPr>
      <t>，加速度</t>
    </r>
    <r>
      <rPr>
        <sz val="12"/>
        <rFont val="Century Gothic"/>
        <family val="2"/>
      </rPr>
      <t xml:space="preserve"> -a)</t>
    </r>
    <r>
      <rPr>
        <sz val="12"/>
        <rFont val="標楷體"/>
        <family val="4"/>
        <charset val="136"/>
      </rPr>
      <t>：</t>
    </r>
    <r>
      <rPr>
        <sz val="12"/>
        <rFont val="Century Gothic"/>
        <family val="2"/>
      </rPr>
      <t>F</t>
    </r>
    <r>
      <rPr>
        <vertAlign val="subscript"/>
        <sz val="12"/>
        <rFont val="Century Gothic"/>
        <family val="2"/>
      </rPr>
      <t>3</t>
    </r>
    <r>
      <rPr>
        <sz val="12"/>
        <rFont val="Century Gothic"/>
        <family val="2"/>
      </rPr>
      <t xml:space="preserve"> = m*g*sin(theta*pi()/180) + mu*m*g*cos(theta*pi()/180) - m*a</t>
    </r>
    <phoneticPr fontId="6" type="noConversion"/>
  </si>
  <si>
    <r>
      <rPr>
        <sz val="12"/>
        <rFont val="標楷體"/>
        <family val="4"/>
        <charset val="136"/>
      </rPr>
      <t>向下加速階段</t>
    </r>
    <r>
      <rPr>
        <sz val="12"/>
        <rFont val="Century Gothic"/>
        <family val="2"/>
      </rPr>
      <t xml:space="preserve"> (</t>
    </r>
    <r>
      <rPr>
        <sz val="12"/>
        <rFont val="標楷體"/>
        <family val="4"/>
        <charset val="136"/>
      </rPr>
      <t>持續</t>
    </r>
    <r>
      <rPr>
        <sz val="12"/>
        <rFont val="Century Gothic"/>
        <family val="2"/>
      </rPr>
      <t xml:space="preserve"> t</t>
    </r>
    <r>
      <rPr>
        <vertAlign val="subscript"/>
        <sz val="12"/>
        <rFont val="Century Gothic"/>
        <family val="2"/>
      </rPr>
      <t>4</t>
    </r>
    <r>
      <rPr>
        <sz val="12"/>
        <rFont val="標楷體"/>
        <family val="4"/>
        <charset val="136"/>
      </rPr>
      <t>，加速度</t>
    </r>
    <r>
      <rPr>
        <sz val="12"/>
        <rFont val="Century Gothic"/>
        <family val="2"/>
      </rPr>
      <t xml:space="preserve"> -a)</t>
    </r>
    <r>
      <rPr>
        <sz val="12"/>
        <rFont val="標楷體"/>
        <family val="4"/>
        <charset val="136"/>
      </rPr>
      <t>：</t>
    </r>
    <r>
      <rPr>
        <sz val="12"/>
        <rFont val="Century Gothic"/>
        <family val="2"/>
      </rPr>
      <t>F</t>
    </r>
    <r>
      <rPr>
        <vertAlign val="subscript"/>
        <sz val="12"/>
        <rFont val="Century Gothic"/>
        <family val="2"/>
      </rPr>
      <t>4</t>
    </r>
    <r>
      <rPr>
        <sz val="12"/>
        <rFont val="Century Gothic"/>
        <family val="2"/>
      </rPr>
      <t xml:space="preserve"> = - mu*m*g*cos(theta*pi()/180) - m*g*sin(theta*pi()/180) - m*a</t>
    </r>
    <phoneticPr fontId="6" type="noConversion"/>
  </si>
  <si>
    <r>
      <rPr>
        <sz val="12"/>
        <rFont val="標楷體"/>
        <family val="4"/>
        <charset val="136"/>
      </rPr>
      <t>向下定速階段</t>
    </r>
    <r>
      <rPr>
        <sz val="12"/>
        <rFont val="Century Gothic"/>
        <family val="2"/>
      </rPr>
      <t xml:space="preserve"> (</t>
    </r>
    <r>
      <rPr>
        <sz val="12"/>
        <rFont val="標楷體"/>
        <family val="4"/>
        <charset val="136"/>
      </rPr>
      <t>持續</t>
    </r>
    <r>
      <rPr>
        <sz val="12"/>
        <rFont val="Century Gothic"/>
        <family val="2"/>
      </rPr>
      <t xml:space="preserve"> t</t>
    </r>
    <r>
      <rPr>
        <vertAlign val="subscript"/>
        <sz val="12"/>
        <rFont val="Century Gothic"/>
        <family val="2"/>
      </rPr>
      <t>5</t>
    </r>
    <r>
      <rPr>
        <sz val="12"/>
        <rFont val="標楷體"/>
        <family val="4"/>
        <charset val="136"/>
      </rPr>
      <t>，加速度</t>
    </r>
    <r>
      <rPr>
        <sz val="12"/>
        <rFont val="Century Gothic"/>
        <family val="2"/>
      </rPr>
      <t xml:space="preserve"> 0)</t>
    </r>
    <r>
      <rPr>
        <sz val="12"/>
        <rFont val="標楷體"/>
        <family val="4"/>
        <charset val="136"/>
      </rPr>
      <t>：</t>
    </r>
    <r>
      <rPr>
        <sz val="12"/>
        <rFont val="Century Gothic"/>
        <family val="2"/>
      </rPr>
      <t>F</t>
    </r>
    <r>
      <rPr>
        <vertAlign val="subscript"/>
        <sz val="12"/>
        <rFont val="Century Gothic"/>
        <family val="2"/>
      </rPr>
      <t>5</t>
    </r>
    <r>
      <rPr>
        <sz val="12"/>
        <rFont val="Century Gothic"/>
        <family val="2"/>
      </rPr>
      <t xml:space="preserve"> = mu*m*g*cos(theta*pi()/180) - m*g*sin(theta*pi()/180)</t>
    </r>
    <phoneticPr fontId="6" type="noConversion"/>
  </si>
  <si>
    <r>
      <rPr>
        <sz val="12"/>
        <rFont val="標楷體"/>
        <family val="4"/>
        <charset val="136"/>
      </rPr>
      <t>向下減速階段</t>
    </r>
    <r>
      <rPr>
        <sz val="12"/>
        <rFont val="Century Gothic"/>
        <family val="2"/>
      </rPr>
      <t xml:space="preserve"> (</t>
    </r>
    <r>
      <rPr>
        <sz val="12"/>
        <rFont val="標楷體"/>
        <family val="4"/>
        <charset val="136"/>
      </rPr>
      <t>持續</t>
    </r>
    <r>
      <rPr>
        <sz val="12"/>
        <rFont val="Century Gothic"/>
        <family val="2"/>
      </rPr>
      <t xml:space="preserve"> t</t>
    </r>
    <r>
      <rPr>
        <vertAlign val="subscript"/>
        <sz val="12"/>
        <rFont val="Century Gothic"/>
        <family val="2"/>
      </rPr>
      <t>6</t>
    </r>
    <r>
      <rPr>
        <sz val="12"/>
        <rFont val="標楷體"/>
        <family val="4"/>
        <charset val="136"/>
      </rPr>
      <t>，加速度</t>
    </r>
    <r>
      <rPr>
        <sz val="12"/>
        <rFont val="Century Gothic"/>
        <family val="2"/>
      </rPr>
      <t xml:space="preserve"> +a)</t>
    </r>
    <r>
      <rPr>
        <sz val="12"/>
        <rFont val="標楷體"/>
        <family val="4"/>
        <charset val="136"/>
      </rPr>
      <t>：</t>
    </r>
    <r>
      <rPr>
        <sz val="12"/>
        <rFont val="Century Gothic"/>
        <family val="2"/>
      </rPr>
      <t>F</t>
    </r>
    <r>
      <rPr>
        <vertAlign val="subscript"/>
        <sz val="12"/>
        <rFont val="Century Gothic"/>
        <family val="2"/>
      </rPr>
      <t>6</t>
    </r>
    <r>
      <rPr>
        <sz val="12"/>
        <rFont val="Century Gothic"/>
        <family val="2"/>
      </rPr>
      <t xml:space="preserve"> = m*a + mu*m*g*cos(theta*pi()/180) - m*g*sin(theta*pi()/180)</t>
    </r>
    <phoneticPr fontId="6" type="noConversion"/>
  </si>
  <si>
    <r>
      <rPr>
        <sz val="12"/>
        <rFont val="標楷體"/>
        <family val="4"/>
        <charset val="136"/>
      </rPr>
      <t>靜止不動階段</t>
    </r>
    <r>
      <rPr>
        <sz val="12"/>
        <rFont val="Century Gothic"/>
        <family val="2"/>
      </rPr>
      <t xml:space="preserve"> (</t>
    </r>
    <r>
      <rPr>
        <sz val="12"/>
        <rFont val="標楷體"/>
        <family val="4"/>
        <charset val="136"/>
      </rPr>
      <t>持續</t>
    </r>
    <r>
      <rPr>
        <sz val="12"/>
        <rFont val="Century Gothic"/>
        <family val="2"/>
      </rPr>
      <t xml:space="preserve"> t</t>
    </r>
    <r>
      <rPr>
        <vertAlign val="subscript"/>
        <sz val="12"/>
        <rFont val="Century Gothic"/>
        <family val="2"/>
      </rPr>
      <t>7</t>
    </r>
    <r>
      <rPr>
        <sz val="12"/>
        <rFont val="標楷體"/>
        <family val="4"/>
        <charset val="136"/>
      </rPr>
      <t>，加速度</t>
    </r>
    <r>
      <rPr>
        <sz val="12"/>
        <rFont val="Century Gothic"/>
        <family val="2"/>
      </rPr>
      <t xml:space="preserve"> 0)</t>
    </r>
    <r>
      <rPr>
        <sz val="12"/>
        <rFont val="標楷體"/>
        <family val="4"/>
        <charset val="136"/>
      </rPr>
      <t>：</t>
    </r>
    <r>
      <rPr>
        <sz val="12"/>
        <rFont val="Century Gothic"/>
        <family val="2"/>
      </rPr>
      <t>F</t>
    </r>
    <r>
      <rPr>
        <vertAlign val="subscript"/>
        <sz val="12"/>
        <rFont val="Century Gothic"/>
        <family val="2"/>
      </rPr>
      <t>7</t>
    </r>
    <r>
      <rPr>
        <sz val="12"/>
        <rFont val="Century Gothic"/>
        <family val="2"/>
      </rPr>
      <t xml:space="preserve"> = max(0, m*g*sin(theta*pi()/180)) - mu*m*g*cos(theta*pi()/180)</t>
    </r>
    <phoneticPr fontId="6" type="noConversion"/>
  </si>
  <si>
    <r>
      <rPr>
        <sz val="12"/>
        <rFont val="標楷體"/>
        <family val="4"/>
        <charset val="136"/>
      </rPr>
      <t>重力加速度</t>
    </r>
    <r>
      <rPr>
        <sz val="12"/>
        <rFont val="Century Gothic"/>
        <family val="2"/>
      </rPr>
      <t>,g</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</si>
</sst>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76" formatCode="\ General"/>
    <numFmt numFmtId="177" formatCode="_-* #,##0_-;\-* #,##0_-;_-* &quot;-&quot;??_-;_-@_-"/>
    <numFmt numFmtId="178" formatCode="0.00_ "/>
    <numFmt numFmtId="179" formatCode="0.0_ "/>
    <numFmt numFmtId="180" formatCode="_-* #,##0.0_-;\-* #,##0.0_-;_-* &quot;-&quot;??_-;_-@_-"/>
    <numFmt numFmtId="181" formatCode="_-* #,##0.000_-;\-* #,##0.000_-;_-* &quot;-&quot;???_-;_-@_-"/>
    <numFmt numFmtId="182" formatCode="0.000_ "/>
    <numFmt numFmtId="183" formatCode="&quot;MR-J2S&quot;\ General"/>
    <numFmt numFmtId="184" formatCode="0.00000_ "/>
    <numFmt numFmtId="185" formatCode="_-* #,##0.000_-;\-* #,##0.000_-;_-* &quot;-&quot;??_-;_-@_-"/>
  </numFmts>
  <fonts count="20" x14ac:knownFonts="1">
    <font>
      <sz val="12"/>
      <name val="新細明體"/>
      <family val="1"/>
      <charset val="136"/>
    </font>
    <font>
      <sz val="12"/>
      <name val="新細明體"/>
      <family val="1"/>
      <charset val="136"/>
    </font>
    <font>
      <sz val="12"/>
      <name val="標楷體"/>
      <family val="4"/>
      <charset val="136"/>
    </font>
    <font>
      <sz val="12"/>
      <name val="Century Gothic"/>
      <family val="2"/>
    </font>
    <font>
      <b/>
      <sz val="12"/>
      <name val="Century Gothic"/>
      <family val="2"/>
    </font>
    <font>
      <b/>
      <vertAlign val="subscript"/>
      <sz val="12"/>
      <name val="Century Gothic"/>
      <family val="2"/>
    </font>
    <font>
      <sz val="9"/>
      <name val="新細明體"/>
      <family val="1"/>
      <charset val="136"/>
    </font>
    <font>
      <sz val="12"/>
      <color theme="1"/>
      <name val="Century Gothic"/>
      <family val="2"/>
    </font>
    <font>
      <sz val="12"/>
      <color indexed="8"/>
      <name val="標楷體"/>
      <family val="4"/>
      <charset val="136"/>
    </font>
    <font>
      <sz val="12"/>
      <color indexed="8"/>
      <name val="Century Gothic"/>
      <family val="2"/>
    </font>
    <font>
      <b/>
      <sz val="12"/>
      <color indexed="8"/>
      <name val="Century Gothic"/>
      <family val="2"/>
    </font>
    <font>
      <b/>
      <vertAlign val="subscript"/>
      <sz val="12"/>
      <color indexed="8"/>
      <name val="Century Gothic"/>
      <family val="2"/>
    </font>
    <font>
      <sz val="12"/>
      <name val="Century Gothic"/>
      <family val="4"/>
      <charset val="136"/>
    </font>
    <font>
      <sz val="12"/>
      <color indexed="8"/>
      <name val="Century Gothic"/>
      <family val="4"/>
      <charset val="136"/>
    </font>
    <font>
      <vertAlign val="subscript"/>
      <sz val="12"/>
      <name val="Century Gothic"/>
      <family val="2"/>
    </font>
    <font>
      <vertAlign val="superscript"/>
      <sz val="12"/>
      <name val="Century Gothic"/>
      <family val="2"/>
    </font>
    <font>
      <b/>
      <sz val="12"/>
      <name val="Calibri"/>
      <family val="2"/>
      <charset val="161"/>
    </font>
    <font>
      <sz val="9"/>
      <name val="新細明體"/>
      <family val="3"/>
      <charset val="136"/>
      <scheme val="minor"/>
    </font>
    <font>
      <sz val="9"/>
      <name val="新細明體"/>
      <family val="2"/>
      <charset val="136"/>
      <scheme val="minor"/>
    </font>
    <font>
      <sz val="12"/>
      <name val="Century Gothic"/>
      <family val="4"/>
    </font>
  </fonts>
  <fills count="7">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indexed="42"/>
        <bgColor indexed="64"/>
      </patternFill>
    </fill>
    <fill>
      <patternFill patternType="solid">
        <fgColor rgb="FF92D050"/>
        <bgColor indexed="64"/>
      </patternFill>
    </fill>
    <fill>
      <patternFill patternType="solid">
        <fgColor rgb="FF00B05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alignment vertical="center"/>
    </xf>
  </cellStyleXfs>
  <cellXfs count="98">
    <xf numFmtId="0" fontId="0" fillId="0" borderId="0" xfId="0"/>
    <xf numFmtId="0" fontId="2" fillId="0" borderId="0" xfId="0" applyFont="1"/>
    <xf numFmtId="0" fontId="3" fillId="0" borderId="0" xfId="0" applyFont="1"/>
    <xf numFmtId="0" fontId="7" fillId="0" borderId="0" xfId="0" applyFont="1"/>
    <xf numFmtId="0" fontId="2" fillId="0" borderId="0" xfId="0" applyFont="1" applyAlignment="1">
      <alignment vertical="center"/>
    </xf>
    <xf numFmtId="0" fontId="12" fillId="0" borderId="0" xfId="0" applyFont="1"/>
    <xf numFmtId="9" fontId="3" fillId="0" borderId="0" xfId="1" applyFont="1"/>
    <xf numFmtId="0" fontId="12" fillId="0" borderId="0" xfId="0" applyFont="1" applyAlignment="1">
      <alignment wrapText="1"/>
    </xf>
    <xf numFmtId="0" fontId="13" fillId="0" borderId="0" xfId="0" applyFont="1"/>
    <xf numFmtId="0" fontId="3" fillId="0" borderId="0" xfId="0" applyFont="1" applyAlignment="1">
      <alignment vertical="center"/>
    </xf>
    <xf numFmtId="0" fontId="0" fillId="0" borderId="0" xfId="0" applyAlignment="1">
      <alignment vertical="center"/>
    </xf>
    <xf numFmtId="43" fontId="3" fillId="0" borderId="0" xfId="0" applyNumberFormat="1" applyFont="1" applyAlignment="1">
      <alignment vertical="center"/>
    </xf>
    <xf numFmtId="176" fontId="3" fillId="0" borderId="0" xfId="0" applyNumberFormat="1" applyFont="1" applyAlignment="1">
      <alignment vertical="center"/>
    </xf>
    <xf numFmtId="0" fontId="2" fillId="0" borderId="0" xfId="0" applyFont="1" applyAlignment="1">
      <alignment horizontal="justify" vertical="center"/>
    </xf>
    <xf numFmtId="177" fontId="3" fillId="0" borderId="0" xfId="0" applyNumberFormat="1" applyFont="1" applyAlignment="1">
      <alignment vertical="center"/>
    </xf>
    <xf numFmtId="177" fontId="3" fillId="0" borderId="0" xfId="2" applyNumberFormat="1" applyFont="1" applyAlignment="1">
      <alignment vertical="center"/>
    </xf>
    <xf numFmtId="43" fontId="3" fillId="0" borderId="0" xfId="2" applyFont="1" applyAlignment="1">
      <alignment vertical="center"/>
    </xf>
    <xf numFmtId="0" fontId="3" fillId="0" borderId="0" xfId="0" applyFont="1" applyAlignment="1">
      <alignment horizontal="justify" vertical="center"/>
    </xf>
    <xf numFmtId="178" fontId="3" fillId="0" borderId="0" xfId="0" applyNumberFormat="1" applyFont="1" applyAlignment="1">
      <alignment horizontal="center" vertical="center"/>
    </xf>
    <xf numFmtId="179" fontId="3" fillId="0" borderId="0" xfId="0" applyNumberFormat="1" applyFont="1" applyAlignment="1">
      <alignment horizontal="center" vertical="center"/>
    </xf>
    <xf numFmtId="0" fontId="2" fillId="0" borderId="0" xfId="0" applyFont="1" applyAlignment="1">
      <alignment horizontal="center" vertical="center"/>
    </xf>
    <xf numFmtId="178" fontId="3" fillId="0" borderId="2" xfId="0" applyNumberFormat="1" applyFont="1" applyBorder="1" applyAlignment="1">
      <alignment horizontal="center" vertical="center"/>
    </xf>
    <xf numFmtId="179" fontId="3" fillId="0" borderId="2" xfId="0" applyNumberFormat="1" applyFont="1" applyBorder="1" applyAlignment="1">
      <alignment horizontal="center" vertical="center"/>
    </xf>
    <xf numFmtId="0" fontId="2" fillId="0" borderId="2" xfId="0" applyFont="1" applyBorder="1" applyAlignment="1">
      <alignment horizontal="center" vertical="center"/>
    </xf>
    <xf numFmtId="0" fontId="3" fillId="3" borderId="0" xfId="0" applyFont="1" applyFill="1" applyAlignment="1">
      <alignment vertical="center"/>
    </xf>
    <xf numFmtId="177" fontId="3" fillId="0" borderId="1" xfId="2" applyNumberFormat="1" applyFont="1" applyBorder="1" applyAlignment="1">
      <alignment vertical="center"/>
    </xf>
    <xf numFmtId="178" fontId="3" fillId="0" borderId="0" xfId="0" applyNumberFormat="1" applyFont="1" applyAlignment="1">
      <alignment vertical="center"/>
    </xf>
    <xf numFmtId="43" fontId="3" fillId="0" borderId="0" xfId="2" applyFont="1" applyBorder="1" applyAlignment="1">
      <alignment horizontal="center" vertical="center"/>
    </xf>
    <xf numFmtId="43" fontId="3" fillId="0" borderId="2" xfId="2" applyFont="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vertical="center"/>
    </xf>
    <xf numFmtId="0" fontId="3" fillId="0" borderId="0" xfId="0" applyFont="1" applyAlignment="1">
      <alignment horizontal="center" vertical="center"/>
    </xf>
    <xf numFmtId="43" fontId="3" fillId="3" borderId="2" xfId="2" applyFont="1" applyFill="1" applyBorder="1" applyAlignment="1">
      <alignment horizontal="center" vertical="center"/>
    </xf>
    <xf numFmtId="0" fontId="2" fillId="3" borderId="2" xfId="0" applyFont="1" applyFill="1" applyBorder="1" applyAlignment="1">
      <alignment horizontal="center" vertical="center"/>
    </xf>
    <xf numFmtId="0" fontId="2" fillId="0" borderId="3" xfId="0" applyFont="1" applyBorder="1" applyAlignment="1">
      <alignment horizontal="center" vertical="center"/>
    </xf>
    <xf numFmtId="43" fontId="3" fillId="3" borderId="2" xfId="0" applyNumberFormat="1" applyFont="1" applyFill="1" applyBorder="1" applyAlignment="1">
      <alignment vertical="center"/>
    </xf>
    <xf numFmtId="177" fontId="3" fillId="3" borderId="2" xfId="2" applyNumberFormat="1" applyFont="1" applyFill="1" applyBorder="1" applyAlignment="1">
      <alignment horizontal="center" vertical="center"/>
    </xf>
    <xf numFmtId="43" fontId="3" fillId="3" borderId="2" xfId="0" applyNumberFormat="1" applyFont="1" applyFill="1" applyBorder="1" applyAlignment="1">
      <alignment horizontal="center" vertical="center"/>
    </xf>
    <xf numFmtId="180" fontId="3" fillId="0" borderId="0" xfId="2" applyNumberFormat="1" applyFont="1" applyBorder="1" applyAlignment="1">
      <alignment vertical="center"/>
    </xf>
    <xf numFmtId="181" fontId="3" fillId="0" borderId="0" xfId="0" applyNumberFormat="1" applyFont="1" applyAlignment="1">
      <alignment vertical="center"/>
    </xf>
    <xf numFmtId="177" fontId="3" fillId="2" borderId="1" xfId="2" applyNumberFormat="1" applyFont="1" applyFill="1" applyBorder="1" applyAlignment="1">
      <alignment vertical="center"/>
    </xf>
    <xf numFmtId="177" fontId="3" fillId="4" borderId="0" xfId="2" applyNumberFormat="1" applyFont="1" applyFill="1" applyAlignment="1">
      <alignment vertical="center"/>
    </xf>
    <xf numFmtId="0" fontId="2" fillId="4" borderId="0" xfId="0" applyFont="1" applyFill="1" applyAlignment="1">
      <alignment vertical="center"/>
    </xf>
    <xf numFmtId="177" fontId="3" fillId="2" borderId="0" xfId="2" applyNumberFormat="1" applyFont="1" applyFill="1" applyAlignment="1">
      <alignment vertical="center"/>
    </xf>
    <xf numFmtId="0" fontId="2" fillId="2" borderId="0" xfId="0" applyFont="1" applyFill="1" applyAlignment="1">
      <alignment vertical="center"/>
    </xf>
    <xf numFmtId="180" fontId="3" fillId="0" borderId="0" xfId="2" applyNumberFormat="1" applyFont="1" applyAlignment="1">
      <alignment vertical="center"/>
    </xf>
    <xf numFmtId="0" fontId="3" fillId="5" borderId="0" xfId="0" applyFont="1" applyFill="1" applyAlignment="1">
      <alignment vertical="center"/>
    </xf>
    <xf numFmtId="0" fontId="2" fillId="5" borderId="0" xfId="0" applyFont="1" applyFill="1" applyAlignment="1">
      <alignment vertical="center"/>
    </xf>
    <xf numFmtId="182" fontId="3" fillId="0" borderId="0" xfId="0" applyNumberFormat="1" applyFont="1" applyAlignment="1">
      <alignment vertical="center"/>
    </xf>
    <xf numFmtId="183" fontId="3" fillId="0" borderId="0" xfId="0" applyNumberFormat="1" applyFont="1" applyAlignment="1">
      <alignment vertical="center"/>
    </xf>
    <xf numFmtId="184" fontId="3" fillId="3" borderId="0" xfId="0" applyNumberFormat="1" applyFont="1" applyFill="1" applyAlignment="1">
      <alignment vertical="center"/>
    </xf>
    <xf numFmtId="0" fontId="3" fillId="6" borderId="0" xfId="0" applyFont="1" applyFill="1" applyAlignment="1">
      <alignment vertical="center"/>
    </xf>
    <xf numFmtId="0" fontId="2" fillId="6" borderId="0" xfId="0" applyFont="1" applyFill="1" applyAlignment="1">
      <alignment vertical="center"/>
    </xf>
    <xf numFmtId="185" fontId="3" fillId="0" borderId="0" xfId="2" applyNumberFormat="1" applyFont="1" applyAlignment="1">
      <alignment vertical="center"/>
    </xf>
    <xf numFmtId="43" fontId="3" fillId="3" borderId="0" xfId="2" applyFont="1" applyFill="1" applyAlignment="1">
      <alignment vertical="center"/>
    </xf>
    <xf numFmtId="0" fontId="2" fillId="3" borderId="0" xfId="0" applyFont="1" applyFill="1" applyAlignment="1">
      <alignment vertical="center"/>
    </xf>
    <xf numFmtId="177" fontId="3" fillId="3" borderId="0" xfId="2" applyNumberFormat="1" applyFont="1" applyFill="1" applyAlignment="1">
      <alignment vertical="center"/>
    </xf>
    <xf numFmtId="0" fontId="3" fillId="0" borderId="0" xfId="0" applyFont="1" applyAlignment="1">
      <alignment wrapText="1"/>
    </xf>
    <xf numFmtId="43" fontId="3" fillId="0" borderId="0" xfId="0" applyNumberFormat="1" applyFont="1"/>
    <xf numFmtId="43" fontId="7" fillId="0" borderId="0" xfId="0" applyNumberFormat="1" applyFont="1"/>
    <xf numFmtId="43" fontId="3" fillId="0" borderId="0" xfId="2" applyFont="1"/>
    <xf numFmtId="43" fontId="7" fillId="0" borderId="0" xfId="2" applyFont="1"/>
    <xf numFmtId="177" fontId="7" fillId="0" borderId="0" xfId="2" applyNumberFormat="1" applyFont="1"/>
    <xf numFmtId="177" fontId="3" fillId="0" borderId="0" xfId="2" applyNumberFormat="1" applyFont="1"/>
    <xf numFmtId="43" fontId="7" fillId="0" borderId="0" xfId="2" applyFont="1" applyAlignment="1"/>
    <xf numFmtId="9" fontId="7" fillId="0" borderId="0" xfId="1" applyFont="1"/>
    <xf numFmtId="0" fontId="2" fillId="3" borderId="0" xfId="0" applyFont="1" applyFill="1"/>
    <xf numFmtId="43" fontId="3" fillId="2" borderId="0" xfId="3" applyNumberFormat="1" applyFont="1" applyFill="1" applyAlignment="1">
      <alignment vertical="center"/>
    </xf>
    <xf numFmtId="182" fontId="3" fillId="4" borderId="0" xfId="3" applyNumberFormat="1" applyFont="1" applyFill="1" applyAlignment="1">
      <alignment vertical="center"/>
    </xf>
    <xf numFmtId="176" fontId="3" fillId="0" borderId="0" xfId="3" applyNumberFormat="1" applyFont="1" applyAlignment="1">
      <alignment vertical="center"/>
    </xf>
    <xf numFmtId="43" fontId="3" fillId="0" borderId="0" xfId="3" applyNumberFormat="1" applyFont="1" applyAlignment="1">
      <alignment vertical="center"/>
    </xf>
    <xf numFmtId="0" fontId="2" fillId="3" borderId="2" xfId="3" applyFont="1" applyFill="1" applyBorder="1" applyAlignment="1">
      <alignment horizontal="center" vertical="center"/>
    </xf>
    <xf numFmtId="0" fontId="2" fillId="0" borderId="2" xfId="3" applyFont="1" applyBorder="1" applyAlignment="1">
      <alignment horizontal="center" vertical="center"/>
    </xf>
    <xf numFmtId="43" fontId="3" fillId="0" borderId="2" xfId="2" applyFont="1" applyFill="1" applyBorder="1" applyAlignment="1">
      <alignment horizontal="center" vertical="center"/>
    </xf>
    <xf numFmtId="43" fontId="3" fillId="3" borderId="2" xfId="4" applyFont="1" applyFill="1" applyBorder="1" applyAlignment="1">
      <alignment vertical="center"/>
    </xf>
    <xf numFmtId="0" fontId="12" fillId="0" borderId="0" xfId="0" applyFont="1" applyAlignment="1">
      <alignment vertical="center"/>
    </xf>
    <xf numFmtId="0" fontId="3" fillId="0" borderId="2" xfId="0" applyFont="1" applyBorder="1" applyAlignment="1">
      <alignment horizontal="center" vertical="center"/>
    </xf>
    <xf numFmtId="9" fontId="3" fillId="0" borderId="0" xfId="1" applyFont="1" applyAlignment="1">
      <alignment vertical="center"/>
    </xf>
    <xf numFmtId="49" fontId="7" fillId="0" borderId="0" xfId="0" applyNumberFormat="1" applyFont="1" applyAlignment="1">
      <alignment vertical="center"/>
    </xf>
    <xf numFmtId="43" fontId="7" fillId="0" borderId="0" xfId="4" applyFont="1">
      <alignment vertical="center"/>
    </xf>
    <xf numFmtId="185" fontId="7" fillId="0" borderId="0" xfId="4" applyNumberFormat="1" applyFont="1">
      <alignment vertical="center"/>
    </xf>
    <xf numFmtId="43" fontId="7" fillId="0" borderId="0" xfId="4" applyFont="1" applyFill="1">
      <alignment vertical="center"/>
    </xf>
    <xf numFmtId="185" fontId="7" fillId="0" borderId="0" xfId="4" applyNumberFormat="1" applyFont="1" applyFill="1">
      <alignment vertical="center"/>
    </xf>
    <xf numFmtId="0" fontId="7" fillId="0" borderId="0" xfId="0" applyFont="1" applyAlignment="1">
      <alignment vertical="center"/>
    </xf>
    <xf numFmtId="177" fontId="7" fillId="0" borderId="0" xfId="4" applyNumberFormat="1" applyFont="1">
      <alignment vertical="center"/>
    </xf>
    <xf numFmtId="43" fontId="3" fillId="0" borderId="0" xfId="4" applyFont="1" applyBorder="1" applyAlignment="1">
      <alignment vertical="center"/>
    </xf>
    <xf numFmtId="177" fontId="3" fillId="0" borderId="0" xfId="4" applyNumberFormat="1" applyFont="1" applyBorder="1" applyAlignment="1">
      <alignment vertical="center"/>
    </xf>
    <xf numFmtId="177" fontId="3" fillId="0" borderId="0" xfId="4" applyNumberFormat="1" applyFont="1">
      <alignment vertical="center"/>
    </xf>
    <xf numFmtId="43" fontId="3" fillId="0" borderId="0" xfId="4" applyFont="1">
      <alignment vertical="center"/>
    </xf>
    <xf numFmtId="49" fontId="3" fillId="0" borderId="0" xfId="0" applyNumberFormat="1" applyFont="1" applyAlignment="1">
      <alignment vertical="center"/>
    </xf>
    <xf numFmtId="180" fontId="3" fillId="0" borderId="0" xfId="4" applyNumberFormat="1" applyFont="1" applyAlignment="1">
      <alignment vertical="center"/>
    </xf>
    <xf numFmtId="43" fontId="3" fillId="0" borderId="0" xfId="4" applyFont="1" applyAlignment="1">
      <alignment vertical="center"/>
    </xf>
    <xf numFmtId="0" fontId="12" fillId="3" borderId="2" xfId="0" applyFont="1" applyFill="1" applyBorder="1" applyAlignment="1">
      <alignment horizontal="center" vertical="center"/>
    </xf>
    <xf numFmtId="0" fontId="12" fillId="0" borderId="0" xfId="0" applyFont="1" applyAlignment="1">
      <alignment vertical="center" wrapText="1"/>
    </xf>
    <xf numFmtId="43" fontId="3" fillId="0" borderId="0" xfId="0" quotePrefix="1" applyNumberFormat="1" applyFont="1" applyAlignment="1">
      <alignment vertical="center"/>
    </xf>
    <xf numFmtId="0" fontId="12" fillId="0" borderId="0" xfId="0" applyFont="1" applyAlignment="1">
      <alignment horizontal="left" vertical="center" wrapText="1"/>
    </xf>
    <xf numFmtId="0" fontId="3" fillId="0" borderId="0" xfId="0" applyFont="1" applyAlignment="1">
      <alignment horizontal="left" vertical="center" wrapText="1"/>
    </xf>
    <xf numFmtId="0" fontId="3" fillId="0" borderId="2" xfId="0" applyFont="1" applyBorder="1" applyAlignment="1">
      <alignment horizontal="center" vertical="center"/>
    </xf>
  </cellXfs>
  <cellStyles count="5">
    <cellStyle name="一般" xfId="0" builtinId="0"/>
    <cellStyle name="一般 2" xfId="3" xr:uid="{22E595A3-64C6-4305-A196-6C9173D432A9}"/>
    <cellStyle name="千分位" xfId="4" builtinId="3"/>
    <cellStyle name="千分位 2" xfId="2" xr:uid="{C0FF6E5E-9870-4F34-89B0-3D82E8563AE9}"/>
    <cellStyle name="百分比" xfId="1" builtinId="5"/>
  </cellStyles>
  <dxfs count="26">
    <dxf>
      <font>
        <condense val="0"/>
        <extend val="0"/>
        <color auto="1"/>
      </font>
      <fill>
        <patternFill>
          <bgColor indexed="10"/>
        </patternFill>
      </fill>
    </dxf>
    <dxf>
      <font>
        <condense val="0"/>
        <extend val="0"/>
        <color auto="1"/>
      </font>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ont>
        <condense val="0"/>
        <extend val="0"/>
        <color auto="1"/>
      </font>
      <fill>
        <patternFill>
          <bgColor indexed="11"/>
        </patternFill>
      </fill>
    </dxf>
    <dxf>
      <font>
        <condense val="0"/>
        <extend val="0"/>
        <color auto="1"/>
      </font>
      <fill>
        <patternFill>
          <bgColor indexed="10"/>
        </patternFill>
      </fill>
    </dxf>
    <dxf>
      <font>
        <condense val="0"/>
        <extend val="0"/>
        <color auto="1"/>
      </font>
      <fill>
        <patternFill>
          <bgColor indexed="11"/>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ont>
        <condense val="0"/>
        <extend val="0"/>
        <color auto="1"/>
      </font>
      <fill>
        <patternFill>
          <bgColor indexed="11"/>
        </patternFill>
      </fill>
    </dxf>
    <dxf>
      <font>
        <condense val="0"/>
        <extend val="0"/>
        <color auto="1"/>
      </font>
      <fill>
        <patternFill>
          <bgColor indexed="10"/>
        </patternFill>
      </fill>
    </dxf>
    <dxf>
      <font>
        <condense val="0"/>
        <extend val="0"/>
        <color auto="1"/>
      </font>
      <fill>
        <patternFill>
          <bgColor indexed="11"/>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8.wmf"/><Relationship Id="rId13" Type="http://schemas.openxmlformats.org/officeDocument/2006/relationships/image" Target="../media/image13.wmf"/><Relationship Id="rId3" Type="http://schemas.openxmlformats.org/officeDocument/2006/relationships/image" Target="../media/image4.wmf"/><Relationship Id="rId7" Type="http://schemas.openxmlformats.org/officeDocument/2006/relationships/image" Target="../media/image7.wmf"/><Relationship Id="rId12" Type="http://schemas.openxmlformats.org/officeDocument/2006/relationships/image" Target="../media/image12.emf"/><Relationship Id="rId2" Type="http://schemas.openxmlformats.org/officeDocument/2006/relationships/image" Target="../media/image3.wmf"/><Relationship Id="rId1" Type="http://schemas.openxmlformats.org/officeDocument/2006/relationships/image" Target="../media/image1.wmf"/><Relationship Id="rId6" Type="http://schemas.openxmlformats.org/officeDocument/2006/relationships/image" Target="../media/image6.wmf"/><Relationship Id="rId11" Type="http://schemas.openxmlformats.org/officeDocument/2006/relationships/image" Target="../media/image11.emf"/><Relationship Id="rId5" Type="http://schemas.openxmlformats.org/officeDocument/2006/relationships/image" Target="../media/image2.wmf"/><Relationship Id="rId10" Type="http://schemas.openxmlformats.org/officeDocument/2006/relationships/image" Target="../media/image10.emf"/><Relationship Id="rId4" Type="http://schemas.openxmlformats.org/officeDocument/2006/relationships/image" Target="../media/image5.wmf"/><Relationship Id="rId9" Type="http://schemas.openxmlformats.org/officeDocument/2006/relationships/image" Target="../media/image9.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259080</xdr:colOff>
          <xdr:row>144</xdr:row>
          <xdr:rowOff>0</xdr:rowOff>
        </xdr:from>
        <xdr:to>
          <xdr:col>0</xdr:col>
          <xdr:colOff>693420</xdr:colOff>
          <xdr:row>144</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150</xdr:row>
          <xdr:rowOff>0</xdr:rowOff>
        </xdr:from>
        <xdr:to>
          <xdr:col>0</xdr:col>
          <xdr:colOff>678180</xdr:colOff>
          <xdr:row>150</xdr:row>
          <xdr:rowOff>15240</xdr:rowOff>
        </xdr:to>
        <xdr:sp macro="" textlink="">
          <xdr:nvSpPr>
            <xdr:cNvPr id="6149" name="Object 5"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0</xdr:col>
      <xdr:colOff>0</xdr:colOff>
      <xdr:row>144</xdr:row>
      <xdr:rowOff>142579</xdr:rowOff>
    </xdr:from>
    <xdr:ext cx="3114262" cy="260905"/>
    <mc:AlternateContent xmlns:mc="http://schemas.openxmlformats.org/markup-compatibility/2006">
      <mc:Choice xmlns:a14="http://schemas.microsoft.com/office/drawing/2010/main" Requires="a14">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0" y="30003111"/>
              <a:ext cx="3114262" cy="260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400" i="1">
                            <a:latin typeface="Cambria Math" panose="02040503050406030204" pitchFamily="18" charset="0"/>
                          </a:rPr>
                        </m:ctrlPr>
                      </m:sSubPr>
                      <m:e>
                        <m:r>
                          <m:rPr>
                            <m:sty m:val="p"/>
                          </m:rPr>
                          <a:rPr lang="en-US" altLang="zh-TW" sz="1400" i="1">
                            <a:latin typeface="Cambria Math" panose="02040503050406030204" pitchFamily="18" charset="0"/>
                          </a:rPr>
                          <m:t>C</m:t>
                        </m:r>
                      </m:e>
                      <m:sub>
                        <m:r>
                          <a:rPr lang="en-US" altLang="zh-TW" sz="1400" b="0" i="1">
                            <a:latin typeface="Cambria Math" panose="02040503050406030204" pitchFamily="18" charset="0"/>
                          </a:rPr>
                          <m:t>𝑎𝑐</m:t>
                        </m:r>
                      </m:sub>
                    </m:sSub>
                    <m:r>
                      <a:rPr lang="en-US" altLang="zh-TW" sz="1400" b="0" i="1">
                        <a:latin typeface="Cambria Math" panose="02040503050406030204" pitchFamily="18" charset="0"/>
                      </a:rPr>
                      <m:t>=</m:t>
                    </m:r>
                    <m:rad>
                      <m:radPr>
                        <m:ctrlPr>
                          <a:rPr lang="en-US" altLang="zh-TW" sz="1400" b="0" i="1">
                            <a:latin typeface="Cambria Math" panose="02040503050406030204" pitchFamily="18" charset="0"/>
                          </a:rPr>
                        </m:ctrlPr>
                      </m:radPr>
                      <m:deg>
                        <m:r>
                          <m:rPr>
                            <m:brk m:alnAt="7"/>
                          </m:rPr>
                          <a:rPr lang="en-US" altLang="zh-TW" sz="1400" b="0" i="1">
                            <a:latin typeface="Cambria Math" panose="02040503050406030204" pitchFamily="18" charset="0"/>
                          </a:rPr>
                          <m:t>3</m:t>
                        </m:r>
                      </m:deg>
                      <m:e>
                        <m:sSub>
                          <m:sSubPr>
                            <m:ctrlPr>
                              <a:rPr lang="en-US" altLang="zh-TW" sz="1400" b="0" i="1">
                                <a:latin typeface="Cambria Math" panose="02040503050406030204" pitchFamily="18" charset="0"/>
                              </a:rPr>
                            </m:ctrlPr>
                          </m:sSubPr>
                          <m:e>
                            <m:r>
                              <a:rPr lang="en-US" altLang="zh-TW" sz="1400" b="0" i="1">
                                <a:latin typeface="Cambria Math" panose="02040503050406030204" pitchFamily="18" charset="0"/>
                              </a:rPr>
                              <m:t>𝐿</m:t>
                            </m:r>
                          </m:e>
                          <m:sub>
                            <m:r>
                              <a:rPr lang="en-US" altLang="zh-TW" sz="1400" b="0" i="1">
                                <a:latin typeface="Cambria Math" panose="02040503050406030204" pitchFamily="18" charset="0"/>
                              </a:rPr>
                              <m:t>𝑇</m:t>
                            </m:r>
                          </m:sub>
                        </m:sSub>
                        <m:r>
                          <a:rPr lang="en-US" altLang="zh-TW" sz="1400" b="0" i="1">
                            <a:latin typeface="Cambria Math" panose="02040503050406030204" pitchFamily="18" charset="0"/>
                            <a:ea typeface="Cambria Math" panose="02040503050406030204" pitchFamily="18" charset="0"/>
                          </a:rPr>
                          <m:t>∗60∗</m:t>
                        </m:r>
                        <m:sSub>
                          <m:sSubPr>
                            <m:ctrlPr>
                              <a:rPr lang="en-US" altLang="zh-TW" sz="1400" b="0" i="1">
                                <a:latin typeface="Cambria Math" panose="02040503050406030204" pitchFamily="18" charset="0"/>
                                <a:ea typeface="Cambria Math" panose="02040503050406030204" pitchFamily="18" charset="0"/>
                              </a:rPr>
                            </m:ctrlPr>
                          </m:sSubPr>
                          <m:e>
                            <m:r>
                              <a:rPr lang="en-US" altLang="zh-TW" sz="1400" b="0" i="1">
                                <a:latin typeface="Cambria Math" panose="02040503050406030204" pitchFamily="18" charset="0"/>
                                <a:ea typeface="Cambria Math" panose="02040503050406030204" pitchFamily="18" charset="0"/>
                              </a:rPr>
                              <m:t>𝑛</m:t>
                            </m:r>
                          </m:e>
                          <m:sub>
                            <m:r>
                              <a:rPr lang="en-US" altLang="zh-TW" sz="1400" b="0" i="1">
                                <a:latin typeface="Cambria Math" panose="02040503050406030204" pitchFamily="18" charset="0"/>
                                <a:ea typeface="Cambria Math" panose="02040503050406030204" pitchFamily="18" charset="0"/>
                              </a:rPr>
                              <m:t>𝑚</m:t>
                            </m:r>
                          </m:sub>
                        </m:sSub>
                      </m:e>
                    </m:rad>
                    <m:r>
                      <a:rPr lang="en-US" altLang="zh-TW" sz="1400" b="0" i="1">
                        <a:latin typeface="Cambria Math" panose="02040503050406030204" pitchFamily="18" charset="0"/>
                        <a:ea typeface="Cambria Math" panose="02040503050406030204" pitchFamily="18" charset="0"/>
                      </a:rPr>
                      <m:t>∗</m:t>
                    </m:r>
                    <m:sSub>
                      <m:sSubPr>
                        <m:ctrlPr>
                          <a:rPr lang="en-US" altLang="zh-TW" sz="1400" b="0" i="1">
                            <a:latin typeface="Cambria Math" panose="02040503050406030204" pitchFamily="18" charset="0"/>
                            <a:ea typeface="Cambria Math" panose="02040503050406030204" pitchFamily="18" charset="0"/>
                          </a:rPr>
                        </m:ctrlPr>
                      </m:sSubPr>
                      <m:e>
                        <m:r>
                          <m:rPr>
                            <m:sty m:val="p"/>
                          </m:rPr>
                          <a:rPr lang="en-US" altLang="zh-TW" sz="1400" b="0" i="1">
                            <a:latin typeface="Cambria Math" panose="02040503050406030204" pitchFamily="18" charset="0"/>
                            <a:ea typeface="Cambria Math" panose="02040503050406030204" pitchFamily="18" charset="0"/>
                          </a:rPr>
                          <m:t>P</m:t>
                        </m:r>
                      </m:e>
                      <m:sub>
                        <m:r>
                          <a:rPr lang="en-US" altLang="zh-TW" sz="1400" b="0" i="1">
                            <a:latin typeface="Cambria Math" panose="02040503050406030204" pitchFamily="18" charset="0"/>
                            <a:ea typeface="Cambria Math" panose="02040503050406030204" pitchFamily="18" charset="0"/>
                          </a:rPr>
                          <m:t>𝑒</m:t>
                        </m:r>
                      </m:sub>
                    </m:sSub>
                    <m:r>
                      <a:rPr lang="en-US" altLang="zh-TW" sz="1400" b="0" i="1">
                        <a:latin typeface="Cambria Math" panose="02040503050406030204" pitchFamily="18" charset="0"/>
                        <a:ea typeface="Cambria Math" panose="02040503050406030204" pitchFamily="18" charset="0"/>
                      </a:rPr>
                      <m:t>∗</m:t>
                    </m:r>
                    <m:sSub>
                      <m:sSubPr>
                        <m:ctrlPr>
                          <a:rPr lang="en-US" altLang="zh-TW" sz="1400" b="0" i="1">
                            <a:latin typeface="Cambria Math" panose="02040503050406030204" pitchFamily="18" charset="0"/>
                            <a:ea typeface="Cambria Math" panose="02040503050406030204" pitchFamily="18" charset="0"/>
                          </a:rPr>
                        </m:ctrlPr>
                      </m:sSubPr>
                      <m:e>
                        <m:r>
                          <a:rPr lang="en-US" altLang="zh-TW" sz="1400" b="0" i="1">
                            <a:latin typeface="Cambria Math" panose="02040503050406030204" pitchFamily="18" charset="0"/>
                            <a:ea typeface="Cambria Math" panose="02040503050406030204" pitchFamily="18" charset="0"/>
                          </a:rPr>
                          <m:t>𝑓</m:t>
                        </m:r>
                      </m:e>
                      <m:sub>
                        <m:r>
                          <a:rPr lang="en-US" altLang="zh-TW" sz="1400" b="0" i="1">
                            <a:latin typeface="Cambria Math" panose="02040503050406030204" pitchFamily="18" charset="0"/>
                            <a:ea typeface="Cambria Math" panose="02040503050406030204" pitchFamily="18" charset="0"/>
                          </a:rPr>
                          <m:t>𝑤</m:t>
                        </m:r>
                      </m:sub>
                    </m:sSub>
                    <m:r>
                      <a:rPr lang="en-US" altLang="zh-TW" sz="1400" b="0" i="1">
                        <a:latin typeface="Cambria Math" panose="02040503050406030204" pitchFamily="18" charset="0"/>
                        <a:ea typeface="Cambria Math" panose="02040503050406030204" pitchFamily="18" charset="0"/>
                      </a:rPr>
                      <m:t>∗</m:t>
                    </m:r>
                    <m:sSup>
                      <m:sSupPr>
                        <m:ctrlPr>
                          <a:rPr lang="en-US" altLang="zh-TW" sz="1400" b="0" i="1">
                            <a:latin typeface="Cambria Math" panose="02040503050406030204" pitchFamily="18" charset="0"/>
                            <a:ea typeface="Cambria Math" panose="02040503050406030204" pitchFamily="18" charset="0"/>
                          </a:rPr>
                        </m:ctrlPr>
                      </m:sSupPr>
                      <m:e>
                        <m:r>
                          <a:rPr lang="en-US" altLang="zh-TW" sz="1400" b="0" i="1">
                            <a:latin typeface="Cambria Math" panose="02040503050406030204" pitchFamily="18" charset="0"/>
                            <a:ea typeface="Cambria Math" panose="02040503050406030204" pitchFamily="18" charset="0"/>
                          </a:rPr>
                          <m:t>10</m:t>
                        </m:r>
                      </m:e>
                      <m:sup>
                        <m:r>
                          <a:rPr lang="en-US" altLang="zh-TW" sz="1400" b="0" i="1">
                            <a:latin typeface="Cambria Math" panose="02040503050406030204" pitchFamily="18" charset="0"/>
                            <a:ea typeface="Cambria Math" panose="02040503050406030204" pitchFamily="18" charset="0"/>
                          </a:rPr>
                          <m:t>−2</m:t>
                        </m:r>
                      </m:sup>
                    </m:sSup>
                  </m:oMath>
                </m:oMathPara>
              </a14:m>
              <a:endParaRPr lang="zh-TW" altLang="en-US" sz="1400"/>
            </a:p>
          </xdr:txBody>
        </xdr:sp>
      </mc:Choice>
      <mc:Fallback>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0" y="30003111"/>
              <a:ext cx="3114262" cy="260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400" i="0">
                  <a:latin typeface="Cambria Math" panose="02040503050406030204" pitchFamily="18" charset="0"/>
                </a:rPr>
                <a:t>C_</a:t>
              </a:r>
              <a:r>
                <a:rPr lang="en-US" altLang="zh-TW" sz="1400" b="0" i="0">
                  <a:latin typeface="Cambria Math" panose="02040503050406030204" pitchFamily="18" charset="0"/>
                </a:rPr>
                <a:t>𝑎𝑐=∛(𝐿_𝑇</a:t>
              </a:r>
              <a:r>
                <a:rPr lang="en-US" altLang="zh-TW" sz="1400" b="0" i="0">
                  <a:latin typeface="Cambria Math" panose="02040503050406030204" pitchFamily="18" charset="0"/>
                  <a:ea typeface="Cambria Math" panose="02040503050406030204" pitchFamily="18" charset="0"/>
                </a:rPr>
                <a:t>∗60∗𝑛_𝑚 )∗P_𝑒∗𝑓_𝑤∗10^(−2)</a:t>
              </a:r>
              <a:endParaRPr lang="zh-TW" altLang="en-US" sz="1400"/>
            </a:p>
          </xdr:txBody>
        </xdr:sp>
      </mc:Fallback>
    </mc:AlternateContent>
    <xdr:clientData/>
  </xdr:oneCellAnchor>
  <xdr:oneCellAnchor>
    <xdr:from>
      <xdr:col>0</xdr:col>
      <xdr:colOff>123942</xdr:colOff>
      <xdr:row>148</xdr:row>
      <xdr:rowOff>162204</xdr:rowOff>
    </xdr:from>
    <xdr:ext cx="2001638" cy="526554"/>
    <mc:AlternateContent xmlns:mc="http://schemas.openxmlformats.org/markup-compatibility/2006">
      <mc:Choice xmlns:a14="http://schemas.microsoft.com/office/drawing/2010/main" Requires="a14">
        <xdr:sp macro="" textlink="">
          <xdr:nvSpPr>
            <xdr:cNvPr id="3" name="文字方塊 2">
              <a:extLst>
                <a:ext uri="{FF2B5EF4-FFF2-40B4-BE49-F238E27FC236}">
                  <a16:creationId xmlns:a16="http://schemas.microsoft.com/office/drawing/2014/main" id="{00000000-0008-0000-0000-000003000000}"/>
                </a:ext>
              </a:extLst>
            </xdr:cNvPr>
            <xdr:cNvSpPr txBox="1"/>
          </xdr:nvSpPr>
          <xdr:spPr>
            <a:xfrm>
              <a:off x="123942" y="37483758"/>
              <a:ext cx="2001638" cy="526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400" i="1">
                            <a:latin typeface="Cambria Math" panose="02040503050406030204" pitchFamily="18" charset="0"/>
                          </a:rPr>
                        </m:ctrlPr>
                      </m:sSubPr>
                      <m:e>
                        <m:r>
                          <a:rPr lang="en-US" altLang="zh-TW" sz="1400" b="0" i="1">
                            <a:latin typeface="Cambria Math" panose="02040503050406030204" pitchFamily="18" charset="0"/>
                          </a:rPr>
                          <m:t>𝐿</m:t>
                        </m:r>
                      </m:e>
                      <m:sub>
                        <m:r>
                          <a:rPr lang="en-US" altLang="zh-TW" sz="1400" b="0" i="1">
                            <a:latin typeface="Cambria Math" panose="02040503050406030204" pitchFamily="18" charset="0"/>
                          </a:rPr>
                          <m:t>𝑡</m:t>
                        </m:r>
                      </m:sub>
                    </m:sSub>
                    <m:r>
                      <a:rPr lang="en-US" altLang="zh-TW" sz="1400" b="0" i="1">
                        <a:latin typeface="Cambria Math" panose="02040503050406030204" pitchFamily="18" charset="0"/>
                      </a:rPr>
                      <m:t>=</m:t>
                    </m:r>
                    <m:sSup>
                      <m:sSupPr>
                        <m:ctrlPr>
                          <a:rPr lang="en-US" altLang="zh-TW" sz="1400" b="0" i="1">
                            <a:latin typeface="Cambria Math" panose="02040503050406030204" pitchFamily="18" charset="0"/>
                          </a:rPr>
                        </m:ctrlPr>
                      </m:sSupPr>
                      <m:e>
                        <m:d>
                          <m:dPr>
                            <m:ctrlPr>
                              <a:rPr lang="en-US" altLang="zh-TW" sz="1400" b="0" i="1">
                                <a:latin typeface="Cambria Math" panose="02040503050406030204" pitchFamily="18" charset="0"/>
                              </a:rPr>
                            </m:ctrlPr>
                          </m:dPr>
                          <m:e>
                            <m:f>
                              <m:fPr>
                                <m:ctrlPr>
                                  <a:rPr lang="en-US" altLang="zh-TW" sz="1400" b="0" i="1">
                                    <a:latin typeface="Cambria Math" panose="02040503050406030204" pitchFamily="18" charset="0"/>
                                  </a:rPr>
                                </m:ctrlPr>
                              </m:fPr>
                              <m:num>
                                <m:sSub>
                                  <m:sSubPr>
                                    <m:ctrlPr>
                                      <a:rPr lang="en-US" altLang="zh-TW" sz="1400" b="0" i="1">
                                        <a:latin typeface="Cambria Math" panose="02040503050406030204" pitchFamily="18" charset="0"/>
                                      </a:rPr>
                                    </m:ctrlPr>
                                  </m:sSubPr>
                                  <m:e>
                                    <m:r>
                                      <a:rPr lang="en-US" altLang="zh-TW" sz="1400" b="0" i="1">
                                        <a:latin typeface="Cambria Math" panose="02040503050406030204" pitchFamily="18" charset="0"/>
                                      </a:rPr>
                                      <m:t>𝐶</m:t>
                                    </m:r>
                                  </m:e>
                                  <m:sub>
                                    <m:r>
                                      <a:rPr lang="en-US" altLang="zh-TW" sz="1400" b="0" i="1">
                                        <a:latin typeface="Cambria Math" panose="02040503050406030204" pitchFamily="18" charset="0"/>
                                      </a:rPr>
                                      <m:t>𝑎</m:t>
                                    </m:r>
                                  </m:sub>
                                </m:sSub>
                              </m:num>
                              <m:den>
                                <m:sSub>
                                  <m:sSubPr>
                                    <m:ctrlPr>
                                      <a:rPr lang="en-US" altLang="zh-TW" sz="1400" b="0" i="1">
                                        <a:latin typeface="Cambria Math" panose="02040503050406030204" pitchFamily="18" charset="0"/>
                                      </a:rPr>
                                    </m:ctrlPr>
                                  </m:sSubPr>
                                  <m:e>
                                    <m:r>
                                      <a:rPr lang="en-US" altLang="zh-TW" sz="1400" b="0" i="1">
                                        <a:latin typeface="Cambria Math" panose="02040503050406030204" pitchFamily="18" charset="0"/>
                                      </a:rPr>
                                      <m:t>𝑃</m:t>
                                    </m:r>
                                  </m:e>
                                  <m:sub>
                                    <m:r>
                                      <a:rPr lang="en-US" altLang="zh-TW" sz="1400" b="0" i="1">
                                        <a:latin typeface="Cambria Math" panose="02040503050406030204" pitchFamily="18" charset="0"/>
                                      </a:rPr>
                                      <m:t>𝑒</m:t>
                                    </m:r>
                                  </m:sub>
                                </m:sSub>
                                <m:r>
                                  <a:rPr lang="en-US" altLang="zh-TW" sz="1400" b="0" i="1">
                                    <a:latin typeface="Cambria Math" panose="02040503050406030204" pitchFamily="18" charset="0"/>
                                    <a:ea typeface="Cambria Math" panose="02040503050406030204" pitchFamily="18" charset="0"/>
                                  </a:rPr>
                                  <m:t>∗</m:t>
                                </m:r>
                                <m:sSub>
                                  <m:sSubPr>
                                    <m:ctrlPr>
                                      <a:rPr lang="en-US" altLang="zh-TW" sz="1400" b="0" i="1">
                                        <a:latin typeface="Cambria Math" panose="02040503050406030204" pitchFamily="18" charset="0"/>
                                        <a:ea typeface="Cambria Math" panose="02040503050406030204" pitchFamily="18" charset="0"/>
                                      </a:rPr>
                                    </m:ctrlPr>
                                  </m:sSubPr>
                                  <m:e>
                                    <m:r>
                                      <a:rPr lang="en-US" altLang="zh-TW" sz="1400" b="0" i="1">
                                        <a:latin typeface="Cambria Math" panose="02040503050406030204" pitchFamily="18" charset="0"/>
                                        <a:ea typeface="Cambria Math" panose="02040503050406030204" pitchFamily="18" charset="0"/>
                                      </a:rPr>
                                      <m:t>𝑓</m:t>
                                    </m:r>
                                  </m:e>
                                  <m:sub>
                                    <m:r>
                                      <a:rPr lang="en-US" altLang="zh-TW" sz="1400" b="0" i="1">
                                        <a:latin typeface="Cambria Math" panose="02040503050406030204" pitchFamily="18" charset="0"/>
                                        <a:ea typeface="Cambria Math" panose="02040503050406030204" pitchFamily="18" charset="0"/>
                                      </a:rPr>
                                      <m:t>𝑤</m:t>
                                    </m:r>
                                  </m:sub>
                                </m:sSub>
                              </m:den>
                            </m:f>
                          </m:e>
                        </m:d>
                      </m:e>
                      <m:sup>
                        <m:r>
                          <a:rPr lang="en-US" altLang="zh-TW" sz="1400" b="0" i="1">
                            <a:latin typeface="Cambria Math" panose="02040503050406030204" pitchFamily="18" charset="0"/>
                          </a:rPr>
                          <m:t>3</m:t>
                        </m:r>
                      </m:sup>
                    </m:sSup>
                    <m:r>
                      <a:rPr lang="en-US" altLang="zh-TW" sz="1400" b="0" i="1">
                        <a:latin typeface="Cambria Math" panose="02040503050406030204" pitchFamily="18" charset="0"/>
                        <a:ea typeface="Cambria Math" panose="02040503050406030204" pitchFamily="18" charset="0"/>
                      </a:rPr>
                      <m:t>∗</m:t>
                    </m:r>
                    <m:f>
                      <m:fPr>
                        <m:ctrlPr>
                          <a:rPr lang="en-US" altLang="zh-TW" sz="1400" b="0" i="1">
                            <a:latin typeface="Cambria Math" panose="02040503050406030204" pitchFamily="18" charset="0"/>
                            <a:ea typeface="Cambria Math" panose="02040503050406030204" pitchFamily="18" charset="0"/>
                          </a:rPr>
                        </m:ctrlPr>
                      </m:fPr>
                      <m:num>
                        <m:sSup>
                          <m:sSupPr>
                            <m:ctrlPr>
                              <a:rPr lang="en-US" altLang="zh-TW" sz="1400" b="0" i="1">
                                <a:latin typeface="Cambria Math" panose="02040503050406030204" pitchFamily="18" charset="0"/>
                                <a:ea typeface="Cambria Math" panose="02040503050406030204" pitchFamily="18" charset="0"/>
                              </a:rPr>
                            </m:ctrlPr>
                          </m:sSupPr>
                          <m:e>
                            <m:r>
                              <a:rPr lang="en-US" altLang="zh-TW" sz="1400" b="0" i="1">
                                <a:latin typeface="Cambria Math" panose="02040503050406030204" pitchFamily="18" charset="0"/>
                                <a:ea typeface="Cambria Math" panose="02040503050406030204" pitchFamily="18" charset="0"/>
                              </a:rPr>
                              <m:t>10</m:t>
                            </m:r>
                          </m:e>
                          <m:sup>
                            <m:r>
                              <a:rPr lang="en-US" altLang="zh-TW" sz="1400" b="0" i="1">
                                <a:latin typeface="Cambria Math" panose="02040503050406030204" pitchFamily="18" charset="0"/>
                                <a:ea typeface="Cambria Math" panose="02040503050406030204" pitchFamily="18" charset="0"/>
                              </a:rPr>
                              <m:t>6</m:t>
                            </m:r>
                          </m:sup>
                        </m:sSup>
                      </m:num>
                      <m:den>
                        <m:r>
                          <a:rPr lang="en-US" altLang="zh-TW" sz="1400" b="0" i="1">
                            <a:latin typeface="Cambria Math" panose="02040503050406030204" pitchFamily="18" charset="0"/>
                            <a:ea typeface="Cambria Math" panose="02040503050406030204" pitchFamily="18" charset="0"/>
                          </a:rPr>
                          <m:t>60∗</m:t>
                        </m:r>
                        <m:sSub>
                          <m:sSubPr>
                            <m:ctrlPr>
                              <a:rPr lang="en-US" altLang="zh-TW" sz="1400" b="0" i="1">
                                <a:latin typeface="Cambria Math" panose="02040503050406030204" pitchFamily="18" charset="0"/>
                                <a:ea typeface="Cambria Math" panose="02040503050406030204" pitchFamily="18" charset="0"/>
                              </a:rPr>
                            </m:ctrlPr>
                          </m:sSubPr>
                          <m:e>
                            <m:r>
                              <a:rPr lang="en-US" altLang="zh-TW" sz="1400" b="0" i="1">
                                <a:latin typeface="Cambria Math" panose="02040503050406030204" pitchFamily="18" charset="0"/>
                                <a:ea typeface="Cambria Math" panose="02040503050406030204" pitchFamily="18" charset="0"/>
                              </a:rPr>
                              <m:t>𝑛</m:t>
                            </m:r>
                          </m:e>
                          <m:sub>
                            <m:r>
                              <a:rPr lang="en-US" altLang="zh-TW" sz="1400" b="0" i="1">
                                <a:latin typeface="Cambria Math" panose="02040503050406030204" pitchFamily="18" charset="0"/>
                                <a:ea typeface="Cambria Math" panose="02040503050406030204" pitchFamily="18" charset="0"/>
                              </a:rPr>
                              <m:t>𝑚</m:t>
                            </m:r>
                          </m:sub>
                        </m:sSub>
                      </m:den>
                    </m:f>
                  </m:oMath>
                </m:oMathPara>
              </a14:m>
              <a:endParaRPr lang="zh-TW" altLang="en-US" sz="1400"/>
            </a:p>
          </xdr:txBody>
        </xdr:sp>
      </mc:Choice>
      <mc:Fallback>
        <xdr:sp macro="" textlink="">
          <xdr:nvSpPr>
            <xdr:cNvPr id="3" name="文字方塊 2">
              <a:extLst>
                <a:ext uri="{FF2B5EF4-FFF2-40B4-BE49-F238E27FC236}">
                  <a16:creationId xmlns:a16="http://schemas.microsoft.com/office/drawing/2014/main" id="{00000000-0008-0000-0000-000003000000}"/>
                </a:ext>
              </a:extLst>
            </xdr:cNvPr>
            <xdr:cNvSpPr txBox="1"/>
          </xdr:nvSpPr>
          <xdr:spPr>
            <a:xfrm>
              <a:off x="123942" y="37483758"/>
              <a:ext cx="2001638" cy="526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400" b="0" i="0">
                  <a:latin typeface="Cambria Math" panose="02040503050406030204" pitchFamily="18" charset="0"/>
                </a:rPr>
                <a:t>𝐿_𝑡=(𝐶_𝑎/(𝑃_𝑒</a:t>
              </a:r>
              <a:r>
                <a:rPr lang="en-US" altLang="zh-TW" sz="1400" b="0" i="0">
                  <a:latin typeface="Cambria Math" panose="02040503050406030204" pitchFamily="18" charset="0"/>
                  <a:ea typeface="Cambria Math" panose="02040503050406030204" pitchFamily="18" charset="0"/>
                </a:rPr>
                <a:t>∗𝑓_𝑤 ))^</a:t>
              </a:r>
              <a:r>
                <a:rPr lang="en-US" altLang="zh-TW" sz="1400" b="0" i="0">
                  <a:latin typeface="Cambria Math" panose="02040503050406030204" pitchFamily="18" charset="0"/>
                </a:rPr>
                <a:t>3</a:t>
              </a:r>
              <a:r>
                <a:rPr lang="en-US" altLang="zh-TW" sz="1400" b="0" i="0">
                  <a:latin typeface="Cambria Math" panose="02040503050406030204" pitchFamily="18" charset="0"/>
                  <a:ea typeface="Cambria Math" panose="02040503050406030204" pitchFamily="18" charset="0"/>
                </a:rPr>
                <a:t>∗10^6/(60∗𝑛_𝑚 )</a:t>
              </a:r>
              <a:endParaRPr lang="zh-TW" altLang="en-US" sz="1400"/>
            </a:p>
          </xdr:txBody>
        </xdr:sp>
      </mc:Fallback>
    </mc:AlternateContent>
    <xdr:clientData/>
  </xdr:oneCellAnchor>
  <xdr:oneCellAnchor>
    <xdr:from>
      <xdr:col>0</xdr:col>
      <xdr:colOff>113915</xdr:colOff>
      <xdr:row>129</xdr:row>
      <xdr:rowOff>114338</xdr:rowOff>
    </xdr:from>
    <xdr:ext cx="3517758" cy="391326"/>
    <mc:AlternateContent xmlns:mc="http://schemas.openxmlformats.org/markup-compatibility/2006">
      <mc:Choice xmlns:a14="http://schemas.microsoft.com/office/drawing/2010/main" Requires="a14">
        <xdr:sp macro="" textlink="">
          <xdr:nvSpPr>
            <xdr:cNvPr id="4" name="文字方塊 3">
              <a:extLst>
                <a:ext uri="{FF2B5EF4-FFF2-40B4-BE49-F238E27FC236}">
                  <a16:creationId xmlns:a16="http://schemas.microsoft.com/office/drawing/2014/main" id="{00000000-0008-0000-0000-000004000000}"/>
                </a:ext>
              </a:extLst>
            </xdr:cNvPr>
            <xdr:cNvSpPr txBox="1"/>
          </xdr:nvSpPr>
          <xdr:spPr>
            <a:xfrm>
              <a:off x="113915" y="26839158"/>
              <a:ext cx="3517758" cy="391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400" i="1">
                            <a:latin typeface="Cambria Math" panose="02040503050406030204" pitchFamily="18" charset="0"/>
                          </a:rPr>
                        </m:ctrlPr>
                      </m:sSubPr>
                      <m:e>
                        <m:r>
                          <a:rPr lang="en-US" altLang="zh-TW" sz="1400" b="0" i="1">
                            <a:latin typeface="Cambria Math" panose="02040503050406030204" pitchFamily="18" charset="0"/>
                          </a:rPr>
                          <m:t>𝑛</m:t>
                        </m:r>
                      </m:e>
                      <m:sub>
                        <m:r>
                          <a:rPr lang="en-US" altLang="zh-TW" sz="1400" b="0" i="1">
                            <a:latin typeface="Cambria Math" panose="02040503050406030204" pitchFamily="18" charset="0"/>
                          </a:rPr>
                          <m:t>𝑚</m:t>
                        </m:r>
                      </m:sub>
                    </m:sSub>
                    <m:r>
                      <a:rPr lang="en-US" altLang="zh-TW" sz="1400" b="0" i="1">
                        <a:latin typeface="Cambria Math" panose="02040503050406030204" pitchFamily="18" charset="0"/>
                      </a:rPr>
                      <m:t>=</m:t>
                    </m:r>
                    <m:f>
                      <m:fPr>
                        <m:ctrlPr>
                          <a:rPr lang="en-US" altLang="zh-TW" sz="1400" b="0" i="1">
                            <a:latin typeface="Cambria Math" panose="02040503050406030204" pitchFamily="18" charset="0"/>
                          </a:rPr>
                        </m:ctrlPr>
                      </m:fPr>
                      <m:num>
                        <m:sSub>
                          <m:sSubPr>
                            <m:ctrlPr>
                              <a:rPr lang="en-US" altLang="zh-TW" sz="1400" b="0" i="1">
                                <a:latin typeface="Cambria Math" panose="02040503050406030204" pitchFamily="18" charset="0"/>
                              </a:rPr>
                            </m:ctrlPr>
                          </m:sSubPr>
                          <m:e>
                            <m:r>
                              <a:rPr lang="en-US" altLang="zh-TW" sz="1400" b="0" i="1">
                                <a:latin typeface="Cambria Math" panose="02040503050406030204" pitchFamily="18" charset="0"/>
                              </a:rPr>
                              <m:t>𝑛</m:t>
                            </m:r>
                          </m:e>
                          <m:sub>
                            <m:r>
                              <a:rPr lang="en-US" altLang="zh-TW" sz="1400" b="0" i="1">
                                <a:latin typeface="Cambria Math" panose="02040503050406030204" pitchFamily="18" charset="0"/>
                              </a:rPr>
                              <m:t>1</m:t>
                            </m:r>
                          </m:sub>
                        </m:sSub>
                        <m:r>
                          <a:rPr lang="en-US" altLang="zh-TW" sz="1400" b="0" i="1">
                            <a:latin typeface="Cambria Math" panose="02040503050406030204" pitchFamily="18" charset="0"/>
                            <a:ea typeface="Cambria Math" panose="02040503050406030204" pitchFamily="18" charset="0"/>
                          </a:rPr>
                          <m:t>∗</m:t>
                        </m:r>
                        <m:sSub>
                          <m:sSubPr>
                            <m:ctrlPr>
                              <a:rPr lang="en-US" altLang="zh-TW" sz="1400" b="0" i="1">
                                <a:latin typeface="Cambria Math" panose="02040503050406030204" pitchFamily="18" charset="0"/>
                                <a:ea typeface="Cambria Math" panose="02040503050406030204" pitchFamily="18" charset="0"/>
                              </a:rPr>
                            </m:ctrlPr>
                          </m:sSubPr>
                          <m:e>
                            <m:r>
                              <a:rPr lang="en-US" altLang="zh-TW" sz="1400" b="0" i="1">
                                <a:latin typeface="Cambria Math" panose="02040503050406030204" pitchFamily="18" charset="0"/>
                                <a:ea typeface="Cambria Math" panose="02040503050406030204" pitchFamily="18" charset="0"/>
                              </a:rPr>
                              <m:t>𝑡</m:t>
                            </m:r>
                          </m:e>
                          <m:sub>
                            <m:r>
                              <a:rPr lang="en-US" altLang="zh-TW" sz="1400" b="0" i="1">
                                <a:latin typeface="Cambria Math" panose="02040503050406030204" pitchFamily="18" charset="0"/>
                                <a:ea typeface="Cambria Math" panose="02040503050406030204" pitchFamily="18" charset="0"/>
                              </a:rPr>
                              <m:t>1</m:t>
                            </m:r>
                          </m:sub>
                        </m:sSub>
                        <m:r>
                          <a:rPr lang="en-US" altLang="zh-TW" sz="1400" b="0" i="1">
                            <a:latin typeface="Cambria Math" panose="02040503050406030204" pitchFamily="18" charset="0"/>
                            <a:ea typeface="Cambria Math" panose="02040503050406030204" pitchFamily="18" charset="0"/>
                          </a:rPr>
                          <m:t>+</m:t>
                        </m:r>
                        <m:sSub>
                          <m:sSubPr>
                            <m:ctrlPr>
                              <a:rPr lang="en-US" altLang="zh-TW" sz="1400" b="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2</m:t>
                            </m:r>
                          </m:sub>
                        </m:sSub>
                        <m:r>
                          <a:rPr lang="en-US" altLang="zh-TW" sz="1400" b="0" i="1">
                            <a:solidFill>
                              <a:schemeClr val="tx1"/>
                            </a:solidFill>
                            <a:effectLst/>
                            <a:latin typeface="Cambria Math" panose="02040503050406030204" pitchFamily="18" charset="0"/>
                            <a:ea typeface="+mn-ea"/>
                            <a:cs typeface="+mn-cs"/>
                          </a:rPr>
                          <m:t>∗</m:t>
                        </m:r>
                        <m:sSub>
                          <m:sSubPr>
                            <m:ctrlPr>
                              <a:rPr lang="en-US" altLang="zh-TW" sz="1400" b="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2</m:t>
                            </m:r>
                          </m:sub>
                        </m:sSub>
                        <m:r>
                          <a:rPr lang="en-US" altLang="zh-TW" sz="1400" b="0" i="1">
                            <a:solidFill>
                              <a:schemeClr val="tx1"/>
                            </a:solidFill>
                            <a:effectLst/>
                            <a:latin typeface="Cambria Math" panose="02040503050406030204" pitchFamily="18" charset="0"/>
                            <a:ea typeface="+mn-ea"/>
                            <a:cs typeface="+mn-cs"/>
                          </a:rPr>
                          <m:t>+</m:t>
                        </m:r>
                        <m:sSub>
                          <m:sSubPr>
                            <m:ctrlPr>
                              <a:rPr lang="en-US" altLang="zh-TW" sz="1400" b="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3</m:t>
                            </m:r>
                          </m:sub>
                        </m:sSub>
                        <m:r>
                          <a:rPr lang="en-US" altLang="zh-TW" sz="1400" b="0" i="1">
                            <a:solidFill>
                              <a:schemeClr val="tx1"/>
                            </a:solidFill>
                            <a:effectLst/>
                            <a:latin typeface="Cambria Math" panose="02040503050406030204" pitchFamily="18" charset="0"/>
                            <a:ea typeface="+mn-ea"/>
                            <a:cs typeface="+mn-cs"/>
                          </a:rPr>
                          <m:t>∗</m:t>
                        </m:r>
                        <m:sSub>
                          <m:sSubPr>
                            <m:ctrlPr>
                              <a:rPr lang="en-US" altLang="zh-TW" sz="1400" b="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3</m:t>
                            </m:r>
                          </m:sub>
                        </m:sSub>
                        <m:r>
                          <a:rPr lang="en-US" altLang="zh-TW" sz="1400" b="0" i="1">
                            <a:solidFill>
                              <a:schemeClr val="tx1"/>
                            </a:solidFill>
                            <a:effectLst/>
                            <a:latin typeface="Cambria Math" panose="02040503050406030204" pitchFamily="18" charset="0"/>
                            <a:ea typeface="+mn-ea"/>
                            <a:cs typeface="+mn-cs"/>
                          </a:rPr>
                          <m:t>+</m:t>
                        </m:r>
                        <m:r>
                          <a:rPr lang="en-US" altLang="zh-TW" sz="1400" b="0" i="1">
                            <a:solidFill>
                              <a:schemeClr val="tx1"/>
                            </a:solidFill>
                            <a:effectLst/>
                            <a:latin typeface="Cambria Math" panose="02040503050406030204" pitchFamily="18" charset="0"/>
                            <a:ea typeface="Cambria Math" panose="02040503050406030204" pitchFamily="18" charset="0"/>
                            <a:cs typeface="+mn-cs"/>
                          </a:rPr>
                          <m:t>⋯</m:t>
                        </m:r>
                        <m:r>
                          <a:rPr lang="en-US" altLang="zh-TW" sz="1400" b="0" i="1">
                            <a:solidFill>
                              <a:schemeClr val="tx1"/>
                            </a:solidFill>
                            <a:effectLst/>
                            <a:latin typeface="Cambria Math" panose="02040503050406030204" pitchFamily="18" charset="0"/>
                            <a:ea typeface="+mn-ea"/>
                            <a:cs typeface="+mn-cs"/>
                          </a:rPr>
                          <m:t>+</m:t>
                        </m:r>
                        <m:sSub>
                          <m:sSubPr>
                            <m:ctrlPr>
                              <a:rPr lang="en-US" altLang="zh-TW" sz="1400" b="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7</m:t>
                            </m:r>
                          </m:sub>
                        </m:sSub>
                        <m:r>
                          <a:rPr lang="en-US" altLang="zh-TW" sz="1400" b="0" i="1">
                            <a:solidFill>
                              <a:schemeClr val="tx1"/>
                            </a:solidFill>
                            <a:effectLst/>
                            <a:latin typeface="Cambria Math" panose="02040503050406030204" pitchFamily="18" charset="0"/>
                            <a:ea typeface="+mn-ea"/>
                            <a:cs typeface="+mn-cs"/>
                          </a:rPr>
                          <m:t>∗</m:t>
                        </m:r>
                        <m:sSub>
                          <m:sSubPr>
                            <m:ctrlPr>
                              <a:rPr lang="en-US" altLang="zh-TW" sz="1400" b="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7</m:t>
                            </m:r>
                          </m:sub>
                        </m:sSub>
                      </m:num>
                      <m:den>
                        <m:r>
                          <a:rPr lang="en-US" altLang="zh-TW" sz="1400" b="0" i="1">
                            <a:latin typeface="Cambria Math" panose="02040503050406030204" pitchFamily="18" charset="0"/>
                          </a:rPr>
                          <m:t>100</m:t>
                        </m:r>
                      </m:den>
                    </m:f>
                  </m:oMath>
                </m:oMathPara>
              </a14:m>
              <a:endParaRPr lang="zh-TW" altLang="en-US" sz="1400"/>
            </a:p>
          </xdr:txBody>
        </xdr:sp>
      </mc:Choice>
      <mc:Fallback>
        <xdr:sp macro="" textlink="">
          <xdr:nvSpPr>
            <xdr:cNvPr id="4" name="文字方塊 3">
              <a:extLst>
                <a:ext uri="{FF2B5EF4-FFF2-40B4-BE49-F238E27FC236}">
                  <a16:creationId xmlns:a16="http://schemas.microsoft.com/office/drawing/2014/main" id="{00000000-0008-0000-0000-000004000000}"/>
                </a:ext>
              </a:extLst>
            </xdr:cNvPr>
            <xdr:cNvSpPr txBox="1"/>
          </xdr:nvSpPr>
          <xdr:spPr>
            <a:xfrm>
              <a:off x="113915" y="26839158"/>
              <a:ext cx="3517758" cy="391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400" b="0" i="0">
                  <a:latin typeface="Cambria Math" panose="02040503050406030204" pitchFamily="18" charset="0"/>
                </a:rPr>
                <a:t>𝑛_𝑚=(𝑛_1</a:t>
              </a:r>
              <a:r>
                <a:rPr lang="en-US" altLang="zh-TW" sz="1400" b="0" i="0">
                  <a:latin typeface="Cambria Math" panose="02040503050406030204" pitchFamily="18" charset="0"/>
                  <a:ea typeface="Cambria Math" panose="02040503050406030204" pitchFamily="18" charset="0"/>
                </a:rPr>
                <a:t>∗𝑡_1+</a:t>
              </a:r>
              <a:r>
                <a:rPr lang="en-US" altLang="zh-TW" sz="1400" b="0" i="0">
                  <a:solidFill>
                    <a:schemeClr val="tx1"/>
                  </a:solidFill>
                  <a:effectLst/>
                  <a:latin typeface="Cambria Math" panose="02040503050406030204" pitchFamily="18" charset="0"/>
                  <a:ea typeface="+mn-ea"/>
                  <a:cs typeface="+mn-cs"/>
                </a:rPr>
                <a:t>𝑛_2∗𝑡_2+𝑛_3∗𝑡_3+</a:t>
              </a:r>
              <a:r>
                <a:rPr lang="en-US" altLang="zh-TW" sz="1400" b="0" i="0">
                  <a:solidFill>
                    <a:schemeClr val="tx1"/>
                  </a:solidFill>
                  <a:effectLst/>
                  <a:latin typeface="Cambria Math" panose="02040503050406030204" pitchFamily="18" charset="0"/>
                  <a:ea typeface="Cambria Math" panose="02040503050406030204" pitchFamily="18" charset="0"/>
                  <a:cs typeface="+mn-cs"/>
                </a:rPr>
                <a:t>⋯</a:t>
              </a:r>
              <a:r>
                <a:rPr lang="en-US" altLang="zh-TW" sz="1400" b="0" i="0">
                  <a:solidFill>
                    <a:schemeClr val="tx1"/>
                  </a:solidFill>
                  <a:effectLst/>
                  <a:latin typeface="Cambria Math" panose="02040503050406030204" pitchFamily="18" charset="0"/>
                  <a:ea typeface="+mn-ea"/>
                  <a:cs typeface="+mn-cs"/>
                </a:rPr>
                <a:t>+𝑛_7∗𝑡_7)/</a:t>
              </a:r>
              <a:r>
                <a:rPr lang="en-US" altLang="zh-TW" sz="1400" b="0" i="0">
                  <a:latin typeface="Cambria Math" panose="02040503050406030204" pitchFamily="18" charset="0"/>
                </a:rPr>
                <a:t>100</a:t>
              </a:r>
              <a:endParaRPr lang="zh-TW" altLang="en-US" sz="1400"/>
            </a:p>
          </xdr:txBody>
        </xdr:sp>
      </mc:Fallback>
    </mc:AlternateContent>
    <xdr:clientData/>
  </xdr:oneCellAnchor>
  <xdr:oneCellAnchor>
    <xdr:from>
      <xdr:col>0</xdr:col>
      <xdr:colOff>76748</xdr:colOff>
      <xdr:row>133</xdr:row>
      <xdr:rowOff>22459</xdr:rowOff>
    </xdr:from>
    <xdr:ext cx="5879366" cy="636521"/>
    <mc:AlternateContent xmlns:mc="http://schemas.openxmlformats.org/markup-compatibility/2006">
      <mc:Choice xmlns:a14="http://schemas.microsoft.com/office/drawing/2010/main" Requires="a14">
        <xdr:sp macro="" textlink="">
          <xdr:nvSpPr>
            <xdr:cNvPr id="5" name="文字方塊 4">
              <a:extLst>
                <a:ext uri="{FF2B5EF4-FFF2-40B4-BE49-F238E27FC236}">
                  <a16:creationId xmlns:a16="http://schemas.microsoft.com/office/drawing/2014/main" id="{00000000-0008-0000-0000-000005000000}"/>
                </a:ext>
              </a:extLst>
            </xdr:cNvPr>
            <xdr:cNvSpPr txBox="1"/>
          </xdr:nvSpPr>
          <xdr:spPr>
            <a:xfrm>
              <a:off x="76748" y="26917222"/>
              <a:ext cx="5879366" cy="636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400" i="1">
                            <a:latin typeface="Cambria Math" panose="02040503050406030204" pitchFamily="18" charset="0"/>
                          </a:rPr>
                        </m:ctrlPr>
                      </m:sSubPr>
                      <m:e>
                        <m:r>
                          <a:rPr lang="en-US" altLang="zh-TW" sz="1400" b="0" i="1">
                            <a:latin typeface="Cambria Math" panose="02040503050406030204" pitchFamily="18" charset="0"/>
                          </a:rPr>
                          <m:t>𝑃</m:t>
                        </m:r>
                      </m:e>
                      <m:sub>
                        <m:r>
                          <a:rPr lang="en-US" altLang="zh-TW" sz="1400" b="0" i="1">
                            <a:latin typeface="Cambria Math" panose="02040503050406030204" pitchFamily="18" charset="0"/>
                          </a:rPr>
                          <m:t>𝑒</m:t>
                        </m:r>
                      </m:sub>
                    </m:sSub>
                    <m:r>
                      <a:rPr lang="en-US" altLang="zh-TW" sz="1400" i="1">
                        <a:latin typeface="Cambria Math" panose="02040503050406030204" pitchFamily="18" charset="0"/>
                      </a:rPr>
                      <m:t>=</m:t>
                    </m:r>
                    <m:rad>
                      <m:radPr>
                        <m:ctrlPr>
                          <a:rPr lang="en-US" altLang="zh-TW" sz="1400" i="1">
                            <a:latin typeface="Cambria Math" panose="02040503050406030204" pitchFamily="18" charset="0"/>
                          </a:rPr>
                        </m:ctrlPr>
                      </m:radPr>
                      <m:deg>
                        <m:r>
                          <m:rPr>
                            <m:brk m:alnAt="7"/>
                          </m:rPr>
                          <a:rPr lang="en-US" altLang="zh-TW" sz="1400" b="0" i="1">
                            <a:latin typeface="Cambria Math" panose="02040503050406030204" pitchFamily="18" charset="0"/>
                          </a:rPr>
                          <m:t>3</m:t>
                        </m:r>
                      </m:deg>
                      <m:e>
                        <m:f>
                          <m:fPr>
                            <m:ctrlPr>
                              <a:rPr lang="en-US" altLang="zh-TW" sz="1400" i="1">
                                <a:solidFill>
                                  <a:schemeClr val="tx1"/>
                                </a:solidFill>
                                <a:effectLst/>
                                <a:latin typeface="Cambria Math" panose="02040503050406030204" pitchFamily="18" charset="0"/>
                                <a:ea typeface="+mn-ea"/>
                                <a:cs typeface="+mn-cs"/>
                              </a:rPr>
                            </m:ctrlPr>
                          </m:fPr>
                          <m:num>
                            <m:sSup>
                              <m:sSupPr>
                                <m:ctrlPr>
                                  <a:rPr lang="en-US" altLang="zh-TW" sz="1400" i="1">
                                    <a:solidFill>
                                      <a:schemeClr val="tx1"/>
                                    </a:solidFill>
                                    <a:effectLst/>
                                    <a:latin typeface="Cambria Math" panose="02040503050406030204" pitchFamily="18" charset="0"/>
                                    <a:ea typeface="+mn-ea"/>
                                    <a:cs typeface="+mn-cs"/>
                                  </a:rPr>
                                </m:ctrlPr>
                              </m:sSupPr>
                              <m:e>
                                <m:d>
                                  <m:dPr>
                                    <m:begChr m:val="|"/>
                                    <m:endChr m:val="|"/>
                                    <m:ctrlPr>
                                      <a:rPr lang="en-US" altLang="zh-TW" sz="1400" i="1">
                                        <a:solidFill>
                                          <a:schemeClr val="tx1"/>
                                        </a:solidFill>
                                        <a:effectLst/>
                                        <a:latin typeface="Cambria Math" panose="02040503050406030204" pitchFamily="18" charset="0"/>
                                        <a:ea typeface="+mn-ea"/>
                                        <a:cs typeface="+mn-cs"/>
                                      </a:rPr>
                                    </m:ctrlPr>
                                  </m:dPr>
                                  <m:e>
                                    <m:sSub>
                                      <m:sSubPr>
                                        <m:ctrlPr>
                                          <a:rPr lang="en-US" altLang="zh-TW" sz="1400" i="1">
                                            <a:solidFill>
                                              <a:schemeClr val="tx1"/>
                                            </a:solidFill>
                                            <a:effectLst/>
                                            <a:latin typeface="Cambria Math" panose="02040503050406030204" pitchFamily="18" charset="0"/>
                                            <a:ea typeface="+mn-ea"/>
                                            <a:cs typeface="+mn-cs"/>
                                          </a:rPr>
                                        </m:ctrlPr>
                                      </m:sSubPr>
                                      <m:e>
                                        <m:r>
                                          <m:rPr>
                                            <m:sty m:val="p"/>
                                          </m:rPr>
                                          <a:rPr lang="en-US" altLang="zh-TW" sz="1400" i="1">
                                            <a:solidFill>
                                              <a:schemeClr val="tx1"/>
                                            </a:solidFill>
                                            <a:effectLst/>
                                            <a:latin typeface="Cambria Math" panose="02040503050406030204" pitchFamily="18" charset="0"/>
                                            <a:ea typeface="+mn-ea"/>
                                            <a:cs typeface="+mn-cs"/>
                                          </a:rPr>
                                          <m:t>F</m:t>
                                        </m:r>
                                      </m:e>
                                      <m:sub>
                                        <m:r>
                                          <a:rPr lang="en-US" altLang="zh-TW" sz="1400" i="1">
                                            <a:solidFill>
                                              <a:schemeClr val="tx1"/>
                                            </a:solidFill>
                                            <a:effectLst/>
                                            <a:latin typeface="Cambria Math" panose="02040503050406030204" pitchFamily="18" charset="0"/>
                                            <a:ea typeface="+mn-ea"/>
                                            <a:cs typeface="+mn-cs"/>
                                          </a:rPr>
                                          <m:t>1</m:t>
                                        </m:r>
                                      </m:sub>
                                    </m:sSub>
                                  </m:e>
                                </m:d>
                              </m:e>
                              <m:sup>
                                <m:r>
                                  <a:rPr lang="en-US" altLang="zh-TW" sz="1400" i="1">
                                    <a:solidFill>
                                      <a:schemeClr val="tx1"/>
                                    </a:solidFill>
                                    <a:effectLst/>
                                    <a:latin typeface="Cambria Math" panose="02040503050406030204" pitchFamily="18" charset="0"/>
                                    <a:ea typeface="+mn-ea"/>
                                    <a:cs typeface="+mn-cs"/>
                                  </a:rPr>
                                  <m:t>3</m:t>
                                </m:r>
                              </m:sup>
                            </m:sSup>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1</m:t>
                                </m:r>
                              </m:sub>
                            </m:sSub>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1</m:t>
                                </m:r>
                              </m:sub>
                            </m:sSub>
                            <m:r>
                              <a:rPr lang="en-US" altLang="zh-TW" sz="1400" i="1">
                                <a:solidFill>
                                  <a:schemeClr val="tx1"/>
                                </a:solidFill>
                                <a:effectLst/>
                                <a:latin typeface="Cambria Math" panose="02040503050406030204" pitchFamily="18" charset="0"/>
                                <a:ea typeface="+mn-ea"/>
                                <a:cs typeface="+mn-cs"/>
                              </a:rPr>
                              <m:t>+</m:t>
                            </m:r>
                            <m:sSup>
                              <m:sSupPr>
                                <m:ctrlPr>
                                  <a:rPr lang="en-US" altLang="zh-TW" sz="1400" i="1">
                                    <a:solidFill>
                                      <a:schemeClr val="tx1"/>
                                    </a:solidFill>
                                    <a:effectLst/>
                                    <a:latin typeface="Cambria Math" panose="02040503050406030204" pitchFamily="18" charset="0"/>
                                    <a:ea typeface="+mn-ea"/>
                                    <a:cs typeface="+mn-cs"/>
                                  </a:rPr>
                                </m:ctrlPr>
                              </m:sSupPr>
                              <m:e>
                                <m:d>
                                  <m:dPr>
                                    <m:begChr m:val="|"/>
                                    <m:endChr m:val="|"/>
                                    <m:ctrlPr>
                                      <a:rPr lang="en-US" altLang="zh-TW" sz="1400" i="1">
                                        <a:solidFill>
                                          <a:schemeClr val="tx1"/>
                                        </a:solidFill>
                                        <a:effectLst/>
                                        <a:latin typeface="Cambria Math" panose="02040503050406030204" pitchFamily="18" charset="0"/>
                                        <a:ea typeface="+mn-ea"/>
                                        <a:cs typeface="+mn-cs"/>
                                      </a:rPr>
                                    </m:ctrlPr>
                                  </m:dPr>
                                  <m:e>
                                    <m:sSub>
                                      <m:sSubPr>
                                        <m:ctrlPr>
                                          <a:rPr lang="en-US" altLang="zh-TW" sz="1400" i="1">
                                            <a:solidFill>
                                              <a:schemeClr val="tx1"/>
                                            </a:solidFill>
                                            <a:effectLst/>
                                            <a:latin typeface="Cambria Math" panose="02040503050406030204" pitchFamily="18" charset="0"/>
                                            <a:ea typeface="+mn-ea"/>
                                            <a:cs typeface="+mn-cs"/>
                                          </a:rPr>
                                        </m:ctrlPr>
                                      </m:sSubPr>
                                      <m:e>
                                        <m:r>
                                          <m:rPr>
                                            <m:sty m:val="p"/>
                                          </m:rPr>
                                          <a:rPr lang="en-US" altLang="zh-TW" sz="1400" i="1">
                                            <a:solidFill>
                                              <a:schemeClr val="tx1"/>
                                            </a:solidFill>
                                            <a:effectLst/>
                                            <a:latin typeface="Cambria Math" panose="02040503050406030204" pitchFamily="18" charset="0"/>
                                            <a:ea typeface="+mn-ea"/>
                                            <a:cs typeface="+mn-cs"/>
                                          </a:rPr>
                                          <m:t>F</m:t>
                                        </m:r>
                                      </m:e>
                                      <m:sub>
                                        <m:r>
                                          <a:rPr lang="en-US" altLang="zh-TW" sz="1400" i="1">
                                            <a:solidFill>
                                              <a:schemeClr val="tx1"/>
                                            </a:solidFill>
                                            <a:effectLst/>
                                            <a:latin typeface="Cambria Math" panose="02040503050406030204" pitchFamily="18" charset="0"/>
                                            <a:ea typeface="+mn-ea"/>
                                            <a:cs typeface="+mn-cs"/>
                                          </a:rPr>
                                          <m:t>2</m:t>
                                        </m:r>
                                      </m:sub>
                                    </m:sSub>
                                  </m:e>
                                </m:d>
                              </m:e>
                              <m:sup>
                                <m:r>
                                  <a:rPr lang="en-US" altLang="zh-TW" sz="1400" b="0" i="1">
                                    <a:solidFill>
                                      <a:schemeClr val="tx1"/>
                                    </a:solidFill>
                                    <a:effectLst/>
                                    <a:latin typeface="Cambria Math" panose="02040503050406030204" pitchFamily="18" charset="0"/>
                                    <a:ea typeface="+mn-ea"/>
                                    <a:cs typeface="+mn-cs"/>
                                  </a:rPr>
                                  <m:t>3</m:t>
                                </m:r>
                              </m:sup>
                            </m:sSup>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2</m:t>
                                </m:r>
                              </m:sub>
                            </m:sSub>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2</m:t>
                                </m:r>
                              </m:sub>
                            </m:sSub>
                            <m:r>
                              <a:rPr lang="en-US" altLang="zh-TW" sz="1400" i="1">
                                <a:solidFill>
                                  <a:schemeClr val="tx1"/>
                                </a:solidFill>
                                <a:effectLst/>
                                <a:latin typeface="Cambria Math" panose="02040503050406030204" pitchFamily="18" charset="0"/>
                                <a:ea typeface="+mn-ea"/>
                                <a:cs typeface="+mn-cs"/>
                              </a:rPr>
                              <m:t>+</m:t>
                            </m:r>
                            <m:sSup>
                              <m:sSupPr>
                                <m:ctrlPr>
                                  <a:rPr lang="en-US" altLang="zh-TW" sz="1400" i="1">
                                    <a:solidFill>
                                      <a:schemeClr val="tx1"/>
                                    </a:solidFill>
                                    <a:effectLst/>
                                    <a:latin typeface="Cambria Math" panose="02040503050406030204" pitchFamily="18" charset="0"/>
                                    <a:ea typeface="+mn-ea"/>
                                    <a:cs typeface="+mn-cs"/>
                                  </a:rPr>
                                </m:ctrlPr>
                              </m:sSupPr>
                              <m:e>
                                <m:d>
                                  <m:dPr>
                                    <m:begChr m:val="|"/>
                                    <m:endChr m:val="|"/>
                                    <m:ctrlPr>
                                      <a:rPr lang="en-US" altLang="zh-TW" sz="1400" i="1">
                                        <a:solidFill>
                                          <a:schemeClr val="tx1"/>
                                        </a:solidFill>
                                        <a:effectLst/>
                                        <a:latin typeface="Cambria Math" panose="02040503050406030204" pitchFamily="18" charset="0"/>
                                        <a:ea typeface="+mn-ea"/>
                                        <a:cs typeface="+mn-cs"/>
                                      </a:rPr>
                                    </m:ctrlPr>
                                  </m:dPr>
                                  <m:e>
                                    <m:sSub>
                                      <m:sSubPr>
                                        <m:ctrlPr>
                                          <a:rPr lang="en-US" altLang="zh-TW" sz="1400" i="1">
                                            <a:solidFill>
                                              <a:schemeClr val="tx1"/>
                                            </a:solidFill>
                                            <a:effectLst/>
                                            <a:latin typeface="Cambria Math" panose="02040503050406030204" pitchFamily="18" charset="0"/>
                                            <a:ea typeface="+mn-ea"/>
                                            <a:cs typeface="+mn-cs"/>
                                          </a:rPr>
                                        </m:ctrlPr>
                                      </m:sSubPr>
                                      <m:e>
                                        <m:r>
                                          <m:rPr>
                                            <m:sty m:val="p"/>
                                          </m:rPr>
                                          <a:rPr lang="en-US" altLang="zh-TW" sz="1400" i="1">
                                            <a:solidFill>
                                              <a:schemeClr val="tx1"/>
                                            </a:solidFill>
                                            <a:effectLst/>
                                            <a:latin typeface="Cambria Math" panose="02040503050406030204" pitchFamily="18" charset="0"/>
                                            <a:ea typeface="+mn-ea"/>
                                            <a:cs typeface="+mn-cs"/>
                                          </a:rPr>
                                          <m:t>F</m:t>
                                        </m:r>
                                      </m:e>
                                      <m:sub>
                                        <m:r>
                                          <a:rPr lang="en-US" altLang="zh-TW" sz="1400" i="1">
                                            <a:solidFill>
                                              <a:schemeClr val="tx1"/>
                                            </a:solidFill>
                                            <a:effectLst/>
                                            <a:latin typeface="Cambria Math" panose="02040503050406030204" pitchFamily="18" charset="0"/>
                                            <a:ea typeface="+mn-ea"/>
                                            <a:cs typeface="+mn-cs"/>
                                          </a:rPr>
                                          <m:t>3</m:t>
                                        </m:r>
                                      </m:sub>
                                    </m:sSub>
                                  </m:e>
                                </m:d>
                              </m:e>
                              <m:sup>
                                <m:r>
                                  <a:rPr lang="en-US" altLang="zh-TW" sz="1400" i="1">
                                    <a:solidFill>
                                      <a:schemeClr val="tx1"/>
                                    </a:solidFill>
                                    <a:effectLst/>
                                    <a:latin typeface="Cambria Math" panose="02040503050406030204" pitchFamily="18" charset="0"/>
                                    <a:ea typeface="+mn-ea"/>
                                    <a:cs typeface="+mn-cs"/>
                                  </a:rPr>
                                  <m:t>3</m:t>
                                </m:r>
                              </m:sup>
                            </m:sSup>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3</m:t>
                                </m:r>
                              </m:sub>
                            </m:sSub>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3</m:t>
                                </m:r>
                              </m:sub>
                            </m:sSub>
                            <m:r>
                              <a:rPr lang="en-US" altLang="zh-TW" sz="1400" i="1">
                                <a:solidFill>
                                  <a:schemeClr val="tx1"/>
                                </a:solidFill>
                                <a:effectLst/>
                                <a:latin typeface="Cambria Math" panose="02040503050406030204" pitchFamily="18" charset="0"/>
                                <a:ea typeface="+mn-ea"/>
                                <a:cs typeface="+mn-cs"/>
                              </a:rPr>
                              <m:t>+⋯+</m:t>
                            </m:r>
                            <m:sSup>
                              <m:sSupPr>
                                <m:ctrlPr>
                                  <a:rPr lang="en-US" altLang="zh-TW" sz="1400" i="1">
                                    <a:solidFill>
                                      <a:schemeClr val="tx1"/>
                                    </a:solidFill>
                                    <a:effectLst/>
                                    <a:latin typeface="Cambria Math" panose="02040503050406030204" pitchFamily="18" charset="0"/>
                                    <a:ea typeface="+mn-ea"/>
                                    <a:cs typeface="+mn-cs"/>
                                  </a:rPr>
                                </m:ctrlPr>
                              </m:sSupPr>
                              <m:e>
                                <m:d>
                                  <m:dPr>
                                    <m:begChr m:val="|"/>
                                    <m:endChr m:val="|"/>
                                    <m:ctrlPr>
                                      <a:rPr lang="en-US" altLang="zh-TW" sz="1400" i="1">
                                        <a:solidFill>
                                          <a:schemeClr val="tx1"/>
                                        </a:solidFill>
                                        <a:effectLst/>
                                        <a:latin typeface="Cambria Math" panose="02040503050406030204" pitchFamily="18" charset="0"/>
                                        <a:ea typeface="+mn-ea"/>
                                        <a:cs typeface="+mn-cs"/>
                                      </a:rPr>
                                    </m:ctrlPr>
                                  </m:dPr>
                                  <m:e>
                                    <m:sSub>
                                      <m:sSubPr>
                                        <m:ctrlPr>
                                          <a:rPr lang="en-US" altLang="zh-TW" sz="1400" i="1">
                                            <a:solidFill>
                                              <a:schemeClr val="tx1"/>
                                            </a:solidFill>
                                            <a:effectLst/>
                                            <a:latin typeface="Cambria Math" panose="02040503050406030204" pitchFamily="18" charset="0"/>
                                            <a:ea typeface="+mn-ea"/>
                                            <a:cs typeface="+mn-cs"/>
                                          </a:rPr>
                                        </m:ctrlPr>
                                      </m:sSubPr>
                                      <m:e>
                                        <m:r>
                                          <m:rPr>
                                            <m:sty m:val="p"/>
                                          </m:rPr>
                                          <a:rPr lang="en-US" altLang="zh-TW" sz="1400" i="1">
                                            <a:solidFill>
                                              <a:schemeClr val="tx1"/>
                                            </a:solidFill>
                                            <a:effectLst/>
                                            <a:latin typeface="Cambria Math" panose="02040503050406030204" pitchFamily="18" charset="0"/>
                                            <a:ea typeface="+mn-ea"/>
                                            <a:cs typeface="+mn-cs"/>
                                          </a:rPr>
                                          <m:t>F</m:t>
                                        </m:r>
                                      </m:e>
                                      <m:sub>
                                        <m:r>
                                          <a:rPr lang="en-US" altLang="zh-TW" sz="1400" i="1">
                                            <a:solidFill>
                                              <a:schemeClr val="tx1"/>
                                            </a:solidFill>
                                            <a:effectLst/>
                                            <a:latin typeface="Cambria Math" panose="02040503050406030204" pitchFamily="18" charset="0"/>
                                            <a:ea typeface="+mn-ea"/>
                                            <a:cs typeface="+mn-cs"/>
                                          </a:rPr>
                                          <m:t>7</m:t>
                                        </m:r>
                                      </m:sub>
                                    </m:sSub>
                                  </m:e>
                                </m:d>
                              </m:e>
                              <m:sup>
                                <m:r>
                                  <a:rPr lang="en-US" altLang="zh-TW" sz="1400" i="1">
                                    <a:solidFill>
                                      <a:schemeClr val="tx1"/>
                                    </a:solidFill>
                                    <a:effectLst/>
                                    <a:latin typeface="Cambria Math" panose="02040503050406030204" pitchFamily="18" charset="0"/>
                                    <a:ea typeface="+mn-ea"/>
                                    <a:cs typeface="+mn-cs"/>
                                  </a:rPr>
                                  <m:t>7</m:t>
                                </m:r>
                              </m:sup>
                            </m:sSup>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7</m:t>
                                </m:r>
                              </m:sub>
                            </m:sSub>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7</m:t>
                                </m:r>
                              </m:sub>
                            </m:sSub>
                          </m:num>
                          <m:den>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1</m:t>
                                </m:r>
                              </m:sub>
                            </m:sSub>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1</m:t>
                                </m:r>
                              </m:sub>
                            </m:sSub>
                            <m:r>
                              <a:rPr lang="en-US" altLang="zh-TW" sz="1400" b="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2</m:t>
                                </m:r>
                              </m:sub>
                            </m:sSub>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2</m:t>
                                </m:r>
                              </m:sub>
                            </m:sSub>
                            <m:r>
                              <a:rPr lang="en-US" altLang="zh-TW" sz="1400" b="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3</m:t>
                                </m:r>
                              </m:sub>
                            </m:sSub>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3</m:t>
                                </m:r>
                              </m:sub>
                            </m:sSub>
                            <m:r>
                              <a:rPr lang="en-US" altLang="zh-TW" sz="1400" b="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𝑛</m:t>
                                </m:r>
                              </m:e>
                              <m:sub>
                                <m:r>
                                  <a:rPr lang="en-US" altLang="zh-TW" sz="1400" b="0" i="1">
                                    <a:solidFill>
                                      <a:schemeClr val="tx1"/>
                                    </a:solidFill>
                                    <a:effectLst/>
                                    <a:latin typeface="Cambria Math" panose="02040503050406030204" pitchFamily="18" charset="0"/>
                                    <a:ea typeface="+mn-ea"/>
                                    <a:cs typeface="+mn-cs"/>
                                  </a:rPr>
                                  <m:t>7</m:t>
                                </m:r>
                              </m:sub>
                            </m:sSub>
                            <m:r>
                              <a:rPr lang="en-US" altLang="zh-TW" sz="1400" i="1">
                                <a:solidFill>
                                  <a:schemeClr val="tx1"/>
                                </a:solidFill>
                                <a:effectLst/>
                                <a:latin typeface="Cambria Math" panose="02040503050406030204" pitchFamily="18" charset="0"/>
                                <a:ea typeface="+mn-ea"/>
                                <a:cs typeface="+mn-cs"/>
                              </a:rPr>
                              <m:t>∗</m:t>
                            </m:r>
                            <m:sSub>
                              <m:sSubPr>
                                <m:ctrlPr>
                                  <a:rPr lang="en-US" altLang="zh-TW" sz="1400" i="1">
                                    <a:solidFill>
                                      <a:schemeClr val="tx1"/>
                                    </a:solidFill>
                                    <a:effectLst/>
                                    <a:latin typeface="Cambria Math" panose="02040503050406030204" pitchFamily="18" charset="0"/>
                                    <a:ea typeface="+mn-ea"/>
                                    <a:cs typeface="+mn-cs"/>
                                  </a:rPr>
                                </m:ctrlPr>
                              </m:sSubPr>
                              <m:e>
                                <m:r>
                                  <a:rPr lang="en-US" altLang="zh-TW" sz="1400" b="0" i="1">
                                    <a:solidFill>
                                      <a:schemeClr val="tx1"/>
                                    </a:solidFill>
                                    <a:effectLst/>
                                    <a:latin typeface="Cambria Math" panose="02040503050406030204" pitchFamily="18" charset="0"/>
                                    <a:ea typeface="+mn-ea"/>
                                    <a:cs typeface="+mn-cs"/>
                                  </a:rPr>
                                  <m:t>𝑡</m:t>
                                </m:r>
                              </m:e>
                              <m:sub>
                                <m:r>
                                  <a:rPr lang="en-US" altLang="zh-TW" sz="1400" b="0" i="1">
                                    <a:solidFill>
                                      <a:schemeClr val="tx1"/>
                                    </a:solidFill>
                                    <a:effectLst/>
                                    <a:latin typeface="Cambria Math" panose="02040503050406030204" pitchFamily="18" charset="0"/>
                                    <a:ea typeface="+mn-ea"/>
                                    <a:cs typeface="+mn-cs"/>
                                  </a:rPr>
                                  <m:t>7</m:t>
                                </m:r>
                              </m:sub>
                            </m:sSub>
                          </m:den>
                        </m:f>
                      </m:e>
                    </m:rad>
                  </m:oMath>
                </m:oMathPara>
              </a14:m>
              <a:endParaRPr lang="zh-TW" altLang="en-US" sz="1400"/>
            </a:p>
          </xdr:txBody>
        </xdr:sp>
      </mc:Choice>
      <mc:Fallback>
        <xdr:sp macro="" textlink="">
          <xdr:nvSpPr>
            <xdr:cNvPr id="5" name="文字方塊 4">
              <a:extLst>
                <a:ext uri="{FF2B5EF4-FFF2-40B4-BE49-F238E27FC236}">
                  <a16:creationId xmlns:a16="http://schemas.microsoft.com/office/drawing/2014/main" id="{00000000-0008-0000-0000-000005000000}"/>
                </a:ext>
              </a:extLst>
            </xdr:cNvPr>
            <xdr:cNvSpPr txBox="1"/>
          </xdr:nvSpPr>
          <xdr:spPr>
            <a:xfrm>
              <a:off x="76748" y="26917222"/>
              <a:ext cx="5879366" cy="636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400" b="0" i="0">
                  <a:latin typeface="Cambria Math" panose="02040503050406030204" pitchFamily="18" charset="0"/>
                </a:rPr>
                <a:t>𝑃_𝑒</a:t>
              </a:r>
              <a:r>
                <a:rPr lang="en-US" altLang="zh-TW" sz="1400" i="0">
                  <a:latin typeface="Cambria Math" panose="02040503050406030204" pitchFamily="18" charset="0"/>
                </a:rPr>
                <a:t>=∛(</a:t>
              </a:r>
              <a:r>
                <a:rPr lang="en-US" altLang="zh-TW" sz="1400" i="0">
                  <a:solidFill>
                    <a:schemeClr val="tx1"/>
                  </a:solidFill>
                  <a:effectLst/>
                  <a:latin typeface="Cambria Math" panose="02040503050406030204" pitchFamily="18" charset="0"/>
                  <a:ea typeface="+mn-ea"/>
                  <a:cs typeface="+mn-cs"/>
                </a:rPr>
                <a:t>(|F_1 |^3∗</a:t>
              </a:r>
              <a:r>
                <a:rPr lang="en-US" altLang="zh-TW" sz="1400" b="0" i="0">
                  <a:solidFill>
                    <a:schemeClr val="tx1"/>
                  </a:solidFill>
                  <a:effectLst/>
                  <a:latin typeface="Cambria Math" panose="02040503050406030204" pitchFamily="18" charset="0"/>
                  <a:ea typeface="+mn-ea"/>
                  <a:cs typeface="+mn-cs"/>
                </a:rPr>
                <a:t>𝑛_1</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𝑡_1</a:t>
              </a:r>
              <a:r>
                <a:rPr lang="en-US" altLang="zh-TW" sz="1400" i="0">
                  <a:solidFill>
                    <a:schemeClr val="tx1"/>
                  </a:solidFill>
                  <a:effectLst/>
                  <a:latin typeface="Cambria Math" panose="02040503050406030204" pitchFamily="18" charset="0"/>
                  <a:ea typeface="+mn-ea"/>
                  <a:cs typeface="+mn-cs"/>
                </a:rPr>
                <a:t>+|F_2 |^</a:t>
              </a:r>
              <a:r>
                <a:rPr lang="en-US" altLang="zh-TW" sz="1400" b="0" i="0">
                  <a:solidFill>
                    <a:schemeClr val="tx1"/>
                  </a:solidFill>
                  <a:effectLst/>
                  <a:latin typeface="Cambria Math" panose="02040503050406030204" pitchFamily="18" charset="0"/>
                  <a:ea typeface="+mn-ea"/>
                  <a:cs typeface="+mn-cs"/>
                </a:rPr>
                <a:t>3</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𝑛_2</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𝑡_2</a:t>
              </a:r>
              <a:r>
                <a:rPr lang="en-US" altLang="zh-TW" sz="1400" i="0">
                  <a:solidFill>
                    <a:schemeClr val="tx1"/>
                  </a:solidFill>
                  <a:effectLst/>
                  <a:latin typeface="Cambria Math" panose="02040503050406030204" pitchFamily="18" charset="0"/>
                  <a:ea typeface="+mn-ea"/>
                  <a:cs typeface="+mn-cs"/>
                </a:rPr>
                <a:t>+|F_3 |^3∗</a:t>
              </a:r>
              <a:r>
                <a:rPr lang="en-US" altLang="zh-TW" sz="1400" b="0" i="0">
                  <a:solidFill>
                    <a:schemeClr val="tx1"/>
                  </a:solidFill>
                  <a:effectLst/>
                  <a:latin typeface="Cambria Math" panose="02040503050406030204" pitchFamily="18" charset="0"/>
                  <a:ea typeface="+mn-ea"/>
                  <a:cs typeface="+mn-cs"/>
                </a:rPr>
                <a:t>𝑛_3</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𝑡_3</a:t>
              </a:r>
              <a:r>
                <a:rPr lang="en-US" altLang="zh-TW" sz="1400" i="0">
                  <a:solidFill>
                    <a:schemeClr val="tx1"/>
                  </a:solidFill>
                  <a:effectLst/>
                  <a:latin typeface="Cambria Math" panose="02040503050406030204" pitchFamily="18" charset="0"/>
                  <a:ea typeface="+mn-ea"/>
                  <a:cs typeface="+mn-cs"/>
                </a:rPr>
                <a:t>+⋯+|F_7 |^7∗</a:t>
              </a:r>
              <a:r>
                <a:rPr lang="en-US" altLang="zh-TW" sz="1400" b="0" i="0">
                  <a:solidFill>
                    <a:schemeClr val="tx1"/>
                  </a:solidFill>
                  <a:effectLst/>
                  <a:latin typeface="Cambria Math" panose="02040503050406030204" pitchFamily="18" charset="0"/>
                  <a:ea typeface="+mn-ea"/>
                  <a:cs typeface="+mn-cs"/>
                </a:rPr>
                <a:t>𝑛_7</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𝑡_7)/(𝑛_1</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𝑡_1+𝑛_2</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𝑡_2+𝑛_3</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𝑡_3+⋯+𝑛_7</a:t>
              </a:r>
              <a:r>
                <a:rPr lang="en-US" altLang="zh-TW" sz="1400" i="0">
                  <a:solidFill>
                    <a:schemeClr val="tx1"/>
                  </a:solidFill>
                  <a:effectLst/>
                  <a:latin typeface="Cambria Math" panose="02040503050406030204" pitchFamily="18" charset="0"/>
                  <a:ea typeface="+mn-ea"/>
                  <a:cs typeface="+mn-cs"/>
                </a:rPr>
                <a:t>∗</a:t>
              </a:r>
              <a:r>
                <a:rPr lang="en-US" altLang="zh-TW" sz="1400" b="0" i="0">
                  <a:solidFill>
                    <a:schemeClr val="tx1"/>
                  </a:solidFill>
                  <a:effectLst/>
                  <a:latin typeface="Cambria Math" panose="02040503050406030204" pitchFamily="18" charset="0"/>
                  <a:ea typeface="+mn-ea"/>
                  <a:cs typeface="+mn-cs"/>
                </a:rPr>
                <a:t>𝑡_7 ))</a:t>
              </a:r>
              <a:endParaRPr lang="zh-TW" altLang="en-US" sz="1400"/>
            </a:p>
          </xdr:txBody>
        </xdr:sp>
      </mc:Fallback>
    </mc:AlternateContent>
    <xdr:clientData/>
  </xdr:oneCellAnchor>
  <xdr:oneCellAnchor>
    <xdr:from>
      <xdr:col>0</xdr:col>
      <xdr:colOff>71845</xdr:colOff>
      <xdr:row>60</xdr:row>
      <xdr:rowOff>69669</xdr:rowOff>
    </xdr:from>
    <xdr:ext cx="1858266" cy="464743"/>
    <mc:AlternateContent xmlns:mc="http://schemas.openxmlformats.org/markup-compatibility/2006" xmlns:a14="http://schemas.microsoft.com/office/drawing/2010/main">
      <mc:Choice Requires="a14">
        <xdr:sp macro="" textlink="">
          <xdr:nvSpPr>
            <xdr:cNvPr id="7" name="文字方塊 6">
              <a:extLst>
                <a:ext uri="{FF2B5EF4-FFF2-40B4-BE49-F238E27FC236}">
                  <a16:creationId xmlns:a16="http://schemas.microsoft.com/office/drawing/2014/main" id="{00000000-0008-0000-0000-000007000000}"/>
                </a:ext>
              </a:extLst>
            </xdr:cNvPr>
            <xdr:cNvSpPr txBox="1"/>
          </xdr:nvSpPr>
          <xdr:spPr>
            <a:xfrm>
              <a:off x="71845" y="12366172"/>
              <a:ext cx="1858266" cy="4647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altLang="zh-TW" sz="1400" b="0" i="1">
                        <a:latin typeface="Cambria Math" panose="02040503050406030204" pitchFamily="18" charset="0"/>
                      </a:rPr>
                      <m:t>𝑙</m:t>
                    </m:r>
                    <m:r>
                      <a:rPr lang="en-US" altLang="zh-TW" sz="1400" b="0" i="1">
                        <a:latin typeface="Cambria Math" panose="02040503050406030204" pitchFamily="18" charset="0"/>
                      </a:rPr>
                      <m:t>=</m:t>
                    </m:r>
                    <m:f>
                      <m:fPr>
                        <m:ctrlPr>
                          <a:rPr lang="en-US" altLang="zh-TW" sz="1400" b="0" i="1">
                            <a:latin typeface="Cambria Math" panose="02040503050406030204" pitchFamily="18" charset="0"/>
                          </a:rPr>
                        </m:ctrlPr>
                      </m:fPr>
                      <m:num>
                        <m:sSub>
                          <m:sSubPr>
                            <m:ctrlPr>
                              <a:rPr lang="en-US" altLang="zh-TW" sz="1400" b="0" i="1">
                                <a:latin typeface="Cambria Math" panose="02040503050406030204" pitchFamily="18" charset="0"/>
                              </a:rPr>
                            </m:ctrlPr>
                          </m:sSubPr>
                          <m:e>
                            <m:r>
                              <a:rPr lang="en-US" altLang="zh-TW" sz="1400" b="0" i="1">
                                <a:latin typeface="Cambria Math" panose="02040503050406030204" pitchFamily="18" charset="0"/>
                              </a:rPr>
                              <m:t>𝑉</m:t>
                            </m:r>
                          </m:e>
                          <m:sub>
                            <m:r>
                              <a:rPr lang="en-US" altLang="zh-TW" sz="1400" b="0" i="1">
                                <a:latin typeface="Cambria Math" panose="02040503050406030204" pitchFamily="18" charset="0"/>
                              </a:rPr>
                              <m:t>𝑚𝑎𝑥</m:t>
                            </m:r>
                          </m:sub>
                        </m:sSub>
                        <m:r>
                          <a:rPr lang="en-US" altLang="zh-TW" sz="1400" b="0" i="1">
                            <a:latin typeface="Cambria Math" panose="02040503050406030204" pitchFamily="18" charset="0"/>
                            <a:ea typeface="Cambria Math" panose="02040503050406030204" pitchFamily="18" charset="0"/>
                          </a:rPr>
                          <m:t>∗60∗1000∗</m:t>
                        </m:r>
                        <m:r>
                          <a:rPr lang="en-US" altLang="zh-TW" sz="1400" b="0" i="1">
                            <a:latin typeface="Cambria Math" panose="02040503050406030204" pitchFamily="18" charset="0"/>
                            <a:ea typeface="Cambria Math" panose="02040503050406030204" pitchFamily="18" charset="0"/>
                          </a:rPr>
                          <m:t>𝑖</m:t>
                        </m:r>
                      </m:num>
                      <m:den>
                        <m:sSub>
                          <m:sSubPr>
                            <m:ctrlPr>
                              <a:rPr lang="en-US" altLang="zh-TW" sz="1400" b="0" i="1">
                                <a:latin typeface="Cambria Math" panose="02040503050406030204" pitchFamily="18" charset="0"/>
                              </a:rPr>
                            </m:ctrlPr>
                          </m:sSubPr>
                          <m:e>
                            <m:r>
                              <a:rPr lang="en-US" altLang="zh-TW" sz="1400" b="0" i="1">
                                <a:latin typeface="Cambria Math" panose="02040503050406030204" pitchFamily="18" charset="0"/>
                              </a:rPr>
                              <m:t>𝑅</m:t>
                            </m:r>
                          </m:e>
                          <m:sub>
                            <m:r>
                              <a:rPr lang="en-US" altLang="zh-TW" sz="1400" b="0" i="1">
                                <a:latin typeface="Cambria Math" panose="02040503050406030204" pitchFamily="18" charset="0"/>
                              </a:rPr>
                              <m:t>𝑟𝑝𝑚</m:t>
                            </m:r>
                          </m:sub>
                        </m:sSub>
                      </m:den>
                    </m:f>
                  </m:oMath>
                </m:oMathPara>
              </a14:m>
              <a:endParaRPr lang="zh-TW" altLang="en-US" sz="1400"/>
            </a:p>
          </xdr:txBody>
        </xdr:sp>
      </mc:Choice>
      <mc:Fallback xmlns="">
        <xdr:sp macro="" textlink="">
          <xdr:nvSpPr>
            <xdr:cNvPr id="7" name="文字方塊 6">
              <a:extLst>
                <a:ext uri="{FF2B5EF4-FFF2-40B4-BE49-F238E27FC236}">
                  <a16:creationId xmlns:a16="http://schemas.microsoft.com/office/drawing/2014/main" id="{A8F90244-C38F-4621-A09F-4F2C2F306CA6}"/>
                </a:ext>
              </a:extLst>
            </xdr:cNvPr>
            <xdr:cNvSpPr txBox="1"/>
          </xdr:nvSpPr>
          <xdr:spPr>
            <a:xfrm>
              <a:off x="71845" y="12366172"/>
              <a:ext cx="1858266" cy="4647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altLang="zh-TW" sz="1400" b="0" i="0">
                  <a:latin typeface="Cambria Math" panose="02040503050406030204" pitchFamily="18" charset="0"/>
                </a:rPr>
                <a:t>𝑙=(𝑉_𝑚𝑎𝑥</a:t>
              </a:r>
              <a:r>
                <a:rPr lang="en-US" altLang="zh-TW" sz="1400" b="0" i="0">
                  <a:latin typeface="Cambria Math" panose="02040503050406030204" pitchFamily="18" charset="0"/>
                  <a:ea typeface="Cambria Math" panose="02040503050406030204" pitchFamily="18" charset="0"/>
                </a:rPr>
                <a:t>∗60∗1000∗𝑖)/</a:t>
              </a:r>
              <a:r>
                <a:rPr lang="en-US" altLang="zh-TW" sz="1400" b="0" i="0">
                  <a:latin typeface="Cambria Math" panose="02040503050406030204" pitchFamily="18" charset="0"/>
                </a:rPr>
                <a:t>𝑅_𝑟𝑝𝑚 </a:t>
              </a:r>
              <a:endParaRPr lang="zh-TW" altLang="en-US" sz="1400"/>
            </a:p>
          </xdr:txBody>
        </xdr:sp>
      </mc:Fallback>
    </mc:AlternateContent>
    <xdr:clientData/>
  </xdr:oneCellAnchor>
  <xdr:oneCellAnchor>
    <xdr:from>
      <xdr:col>0</xdr:col>
      <xdr:colOff>135953</xdr:colOff>
      <xdr:row>116</xdr:row>
      <xdr:rowOff>42144</xdr:rowOff>
    </xdr:from>
    <xdr:ext cx="926344" cy="402931"/>
    <mc:AlternateContent xmlns:mc="http://schemas.openxmlformats.org/markup-compatibility/2006">
      <mc:Choice xmlns:a14="http://schemas.microsoft.com/office/drawing/2010/main" Requires="a14">
        <xdr:sp macro="" textlink="">
          <xdr:nvSpPr>
            <xdr:cNvPr id="8" name="文字方塊 7">
              <a:extLst>
                <a:ext uri="{FF2B5EF4-FFF2-40B4-BE49-F238E27FC236}">
                  <a16:creationId xmlns:a16="http://schemas.microsoft.com/office/drawing/2014/main" id="{00000000-0008-0000-0000-000008000000}"/>
                </a:ext>
              </a:extLst>
            </xdr:cNvPr>
            <xdr:cNvSpPr txBox="1"/>
          </xdr:nvSpPr>
          <xdr:spPr>
            <a:xfrm>
              <a:off x="135953" y="29294173"/>
              <a:ext cx="926344" cy="402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200" i="1">
                            <a:latin typeface="Cambria Math" panose="02040503050406030204" pitchFamily="18" charset="0"/>
                          </a:rPr>
                        </m:ctrlPr>
                      </m:sSubPr>
                      <m:e>
                        <m:r>
                          <a:rPr lang="en-US" altLang="zh-TW" sz="1200" b="0" i="1">
                            <a:latin typeface="Cambria Math" panose="02040503050406030204" pitchFamily="18" charset="0"/>
                          </a:rPr>
                          <m:t>𝑑</m:t>
                        </m:r>
                      </m:e>
                      <m:sub>
                        <m:r>
                          <a:rPr lang="en-US" altLang="zh-TW" sz="1200" b="0" i="1">
                            <a:latin typeface="Cambria Math" panose="02040503050406030204" pitchFamily="18" charset="0"/>
                          </a:rPr>
                          <m:t>𝑟</m:t>
                        </m:r>
                      </m:sub>
                    </m:sSub>
                    <m:r>
                      <a:rPr lang="en-US" altLang="zh-TW" sz="1200" i="1">
                        <a:latin typeface="Cambria Math" panose="02040503050406030204" pitchFamily="18" charset="0"/>
                        <a:ea typeface="Cambria Math" panose="02040503050406030204" pitchFamily="18" charset="0"/>
                      </a:rPr>
                      <m:t>≥</m:t>
                    </m:r>
                    <m:f>
                      <m:fPr>
                        <m:ctrlPr>
                          <a:rPr lang="en-US" altLang="zh-TW" sz="1200" i="1">
                            <a:latin typeface="Cambria Math" panose="02040503050406030204" pitchFamily="18" charset="0"/>
                            <a:ea typeface="Cambria Math" panose="02040503050406030204" pitchFamily="18" charset="0"/>
                          </a:rPr>
                        </m:ctrlPr>
                      </m:fPr>
                      <m:num>
                        <m:r>
                          <a:rPr lang="en-US" altLang="zh-TW" sz="1200" b="0" i="1">
                            <a:latin typeface="Cambria Math" panose="02040503050406030204" pitchFamily="18" charset="0"/>
                            <a:ea typeface="Cambria Math" panose="02040503050406030204" pitchFamily="18" charset="0"/>
                          </a:rPr>
                          <m:t>𝑛</m:t>
                        </m:r>
                        <m:r>
                          <a:rPr lang="en-US" altLang="zh-TW" sz="1200" b="0" i="1">
                            <a:latin typeface="Cambria Math" panose="02040503050406030204" pitchFamily="18" charset="0"/>
                            <a:ea typeface="Cambria Math" panose="02040503050406030204" pitchFamily="18" charset="0"/>
                          </a:rPr>
                          <m:t>∗</m:t>
                        </m:r>
                        <m:sSup>
                          <m:sSupPr>
                            <m:ctrlPr>
                              <a:rPr lang="en-US" altLang="zh-TW" sz="1200" b="0" i="1">
                                <a:latin typeface="Cambria Math" panose="02040503050406030204" pitchFamily="18" charset="0"/>
                                <a:ea typeface="Cambria Math" panose="02040503050406030204" pitchFamily="18" charset="0"/>
                              </a:rPr>
                            </m:ctrlPr>
                          </m:sSupPr>
                          <m:e>
                            <m:r>
                              <a:rPr lang="en-US" altLang="zh-TW" sz="1200" b="0" i="1">
                                <a:latin typeface="Cambria Math" panose="02040503050406030204" pitchFamily="18" charset="0"/>
                                <a:ea typeface="Cambria Math" panose="02040503050406030204" pitchFamily="18" charset="0"/>
                              </a:rPr>
                              <m:t>𝐿</m:t>
                            </m:r>
                          </m:e>
                          <m:sup>
                            <m:r>
                              <a:rPr lang="en-US" altLang="zh-TW" sz="1200" b="0" i="1">
                                <a:latin typeface="Cambria Math" panose="02040503050406030204" pitchFamily="18" charset="0"/>
                                <a:ea typeface="Cambria Math" panose="02040503050406030204" pitchFamily="18" charset="0"/>
                              </a:rPr>
                              <m:t>2</m:t>
                            </m:r>
                          </m:sup>
                        </m:sSup>
                      </m:num>
                      <m:den>
                        <m:r>
                          <a:rPr lang="en-US" altLang="zh-TW" sz="1200" b="0" i="1">
                            <a:latin typeface="Cambria Math" panose="02040503050406030204" pitchFamily="18" charset="0"/>
                            <a:ea typeface="Cambria Math" panose="02040503050406030204" pitchFamily="18" charset="0"/>
                          </a:rPr>
                          <m:t>𝑓</m:t>
                        </m:r>
                        <m:r>
                          <a:rPr lang="zh-TW" altLang="en-US" sz="1200" b="0" i="1">
                            <a:latin typeface="Cambria Math" panose="02040503050406030204" pitchFamily="18" charset="0"/>
                            <a:ea typeface="Cambria Math" panose="02040503050406030204" pitchFamily="18" charset="0"/>
                          </a:rPr>
                          <m:t>∗</m:t>
                        </m:r>
                        <m:r>
                          <a:rPr lang="en-US" altLang="zh-TW" sz="1200" i="1">
                            <a:solidFill>
                              <a:schemeClr val="tx1"/>
                            </a:solidFill>
                            <a:effectLst/>
                            <a:latin typeface="Cambria Math" panose="02040503050406030204" pitchFamily="18" charset="0"/>
                            <a:ea typeface="+mn-ea"/>
                            <a:cs typeface="+mn-cs"/>
                          </a:rPr>
                          <m:t>∗</m:t>
                        </m:r>
                        <m:sSup>
                          <m:sSupPr>
                            <m:ctrlPr>
                              <a:rPr lang="en-US" altLang="zh-TW" sz="1200" i="1">
                                <a:solidFill>
                                  <a:schemeClr val="tx1"/>
                                </a:solidFill>
                                <a:effectLst/>
                                <a:latin typeface="Cambria Math" panose="02040503050406030204" pitchFamily="18" charset="0"/>
                                <a:ea typeface="+mn-ea"/>
                                <a:cs typeface="+mn-cs"/>
                              </a:rPr>
                            </m:ctrlPr>
                          </m:sSupPr>
                          <m:e>
                            <m:r>
                              <a:rPr lang="en-US" altLang="zh-TW" sz="1200" b="0" i="1">
                                <a:solidFill>
                                  <a:schemeClr val="tx1"/>
                                </a:solidFill>
                                <a:effectLst/>
                                <a:latin typeface="Cambria Math" panose="02040503050406030204" pitchFamily="18" charset="0"/>
                                <a:ea typeface="+mn-ea"/>
                                <a:cs typeface="+mn-cs"/>
                              </a:rPr>
                              <m:t>10</m:t>
                            </m:r>
                          </m:e>
                          <m:sup>
                            <m:r>
                              <a:rPr lang="en-US" altLang="zh-TW" sz="1200" b="0" i="1">
                                <a:solidFill>
                                  <a:schemeClr val="tx1"/>
                                </a:solidFill>
                                <a:effectLst/>
                                <a:latin typeface="Cambria Math" panose="02040503050406030204" pitchFamily="18" charset="0"/>
                                <a:ea typeface="+mn-ea"/>
                                <a:cs typeface="+mn-cs"/>
                              </a:rPr>
                              <m:t>7</m:t>
                            </m:r>
                          </m:sup>
                        </m:sSup>
                      </m:den>
                    </m:f>
                  </m:oMath>
                </m:oMathPara>
              </a14:m>
              <a:endParaRPr lang="zh-TW" altLang="en-US" sz="1200"/>
            </a:p>
          </xdr:txBody>
        </xdr:sp>
      </mc:Choice>
      <mc:Fallback>
        <xdr:sp macro="" textlink="">
          <xdr:nvSpPr>
            <xdr:cNvPr id="8" name="文字方塊 7">
              <a:extLst>
                <a:ext uri="{FF2B5EF4-FFF2-40B4-BE49-F238E27FC236}">
                  <a16:creationId xmlns:a16="http://schemas.microsoft.com/office/drawing/2014/main" id="{00000000-0008-0000-0000-000008000000}"/>
                </a:ext>
              </a:extLst>
            </xdr:cNvPr>
            <xdr:cNvSpPr txBox="1"/>
          </xdr:nvSpPr>
          <xdr:spPr>
            <a:xfrm>
              <a:off x="135953" y="29294173"/>
              <a:ext cx="926344" cy="402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200" b="0" i="0">
                  <a:latin typeface="Cambria Math" panose="02040503050406030204" pitchFamily="18" charset="0"/>
                </a:rPr>
                <a:t>𝑑_𝑟</a:t>
              </a:r>
              <a:r>
                <a:rPr lang="en-US" altLang="zh-TW" sz="1200" i="0">
                  <a:latin typeface="Cambria Math" panose="02040503050406030204" pitchFamily="18" charset="0"/>
                  <a:ea typeface="Cambria Math" panose="02040503050406030204" pitchFamily="18" charset="0"/>
                </a:rPr>
                <a:t>≥(</a:t>
              </a:r>
              <a:r>
                <a:rPr lang="en-US" altLang="zh-TW" sz="1200" b="0" i="0">
                  <a:latin typeface="Cambria Math" panose="02040503050406030204" pitchFamily="18" charset="0"/>
                  <a:ea typeface="Cambria Math" panose="02040503050406030204" pitchFamily="18" charset="0"/>
                </a:rPr>
                <a:t>𝑛∗𝐿^2)/(𝑓</a:t>
              </a:r>
              <a:r>
                <a:rPr lang="zh-TW" altLang="en-US" sz="1200" b="0" i="0">
                  <a:latin typeface="Cambria Math" panose="02040503050406030204" pitchFamily="18" charset="0"/>
                  <a:ea typeface="Cambria Math" panose="02040503050406030204" pitchFamily="18" charset="0"/>
                </a:rPr>
                <a:t>∗</a:t>
              </a:r>
              <a:r>
                <a:rPr lang="en-US" altLang="zh-TW" sz="1200" i="0">
                  <a:solidFill>
                    <a:schemeClr val="tx1"/>
                  </a:solidFill>
                  <a:effectLst/>
                  <a:latin typeface="Cambria Math" panose="02040503050406030204" pitchFamily="18" charset="0"/>
                  <a:ea typeface="+mn-ea"/>
                  <a:cs typeface="+mn-cs"/>
                </a:rPr>
                <a:t>∗</a:t>
              </a:r>
              <a:r>
                <a:rPr lang="en-US" altLang="zh-TW" sz="1200" b="0" i="0">
                  <a:solidFill>
                    <a:schemeClr val="tx1"/>
                  </a:solidFill>
                  <a:effectLst/>
                  <a:latin typeface="Cambria Math" panose="02040503050406030204" pitchFamily="18" charset="0"/>
                  <a:ea typeface="+mn-ea"/>
                  <a:cs typeface="+mn-cs"/>
                </a:rPr>
                <a:t>10^7 </a:t>
              </a:r>
              <a:r>
                <a:rPr lang="en-US" altLang="zh-TW" sz="1200" b="0" i="0">
                  <a:solidFill>
                    <a:schemeClr val="tx1"/>
                  </a:solidFill>
                  <a:effectLst/>
                  <a:latin typeface="Cambria Math" panose="02040503050406030204" pitchFamily="18" charset="0"/>
                  <a:ea typeface="Cambria Math" panose="02040503050406030204" pitchFamily="18" charset="0"/>
                  <a:cs typeface="+mn-cs"/>
                </a:rPr>
                <a:t>)</a:t>
              </a:r>
              <a:endParaRPr lang="zh-TW" altLang="en-US" sz="1200"/>
            </a:p>
          </xdr:txBody>
        </xdr:sp>
      </mc:Fallback>
    </mc:AlternateContent>
    <xdr:clientData/>
  </xdr:oneCellAnchor>
  <xdr:oneCellAnchor>
    <xdr:from>
      <xdr:col>0</xdr:col>
      <xdr:colOff>105666</xdr:colOff>
      <xdr:row>112</xdr:row>
      <xdr:rowOff>38374</xdr:rowOff>
    </xdr:from>
    <xdr:ext cx="1091196" cy="373179"/>
    <mc:AlternateContent xmlns:mc="http://schemas.openxmlformats.org/markup-compatibility/2006">
      <mc:Choice xmlns:a14="http://schemas.microsoft.com/office/drawing/2010/main" Requires="a14">
        <xdr:sp macro="" textlink="">
          <xdr:nvSpPr>
            <xdr:cNvPr id="23" name="文字方塊 22">
              <a:extLst>
                <a:ext uri="{FF2B5EF4-FFF2-40B4-BE49-F238E27FC236}">
                  <a16:creationId xmlns:a16="http://schemas.microsoft.com/office/drawing/2014/main" id="{00000000-0008-0000-0000-000017000000}"/>
                </a:ext>
              </a:extLst>
            </xdr:cNvPr>
            <xdr:cNvSpPr txBox="1"/>
          </xdr:nvSpPr>
          <xdr:spPr>
            <a:xfrm>
              <a:off x="105666" y="28281712"/>
              <a:ext cx="1091196" cy="373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altLang="zh-TW" sz="1200" b="0" i="1">
                        <a:latin typeface="Cambria Math" panose="02040503050406030204" pitchFamily="18" charset="0"/>
                        <a:ea typeface="Cambria Math" panose="02040503050406030204" pitchFamily="18" charset="0"/>
                      </a:rPr>
                      <m:t>𝑛</m:t>
                    </m:r>
                    <m:r>
                      <a:rPr lang="en-US" altLang="zh-TW" sz="1200" b="0" i="1">
                        <a:latin typeface="Cambria Math" panose="02040503050406030204" pitchFamily="18" charset="0"/>
                        <a:ea typeface="Cambria Math" panose="02040503050406030204" pitchFamily="18" charset="0"/>
                      </a:rPr>
                      <m:t>=</m:t>
                    </m:r>
                    <m:f>
                      <m:fPr>
                        <m:ctrlPr>
                          <a:rPr lang="en-US" altLang="zh-TW" sz="1200" i="1">
                            <a:latin typeface="Cambria Math" panose="02040503050406030204" pitchFamily="18" charset="0"/>
                            <a:ea typeface="Cambria Math" panose="02040503050406030204" pitchFamily="18" charset="0"/>
                          </a:rPr>
                        </m:ctrlPr>
                      </m:fPr>
                      <m:num>
                        <m:sSub>
                          <m:sSubPr>
                            <m:ctrlPr>
                              <a:rPr lang="en-US" altLang="zh-TW" sz="1200" i="1">
                                <a:solidFill>
                                  <a:schemeClr val="tx1"/>
                                </a:solidFill>
                                <a:effectLst/>
                                <a:latin typeface="Cambria Math" panose="02040503050406030204" pitchFamily="18" charset="0"/>
                                <a:ea typeface="+mn-ea"/>
                                <a:cs typeface="+mn-cs"/>
                              </a:rPr>
                            </m:ctrlPr>
                          </m:sSubPr>
                          <m:e>
                            <m:r>
                              <a:rPr lang="en-US" altLang="zh-TW" sz="1200" b="0" i="1">
                                <a:solidFill>
                                  <a:schemeClr val="tx1"/>
                                </a:solidFill>
                                <a:effectLst/>
                                <a:latin typeface="Cambria Math" panose="02040503050406030204" pitchFamily="18" charset="0"/>
                                <a:ea typeface="+mn-ea"/>
                                <a:cs typeface="+mn-cs"/>
                              </a:rPr>
                              <m:t>𝑑</m:t>
                            </m:r>
                          </m:e>
                          <m:sub>
                            <m:r>
                              <a:rPr lang="en-US" altLang="zh-TW" sz="1200" b="0" i="1">
                                <a:solidFill>
                                  <a:schemeClr val="tx1"/>
                                </a:solidFill>
                                <a:effectLst/>
                                <a:latin typeface="Cambria Math" panose="02040503050406030204" pitchFamily="18" charset="0"/>
                                <a:ea typeface="+mn-ea"/>
                                <a:cs typeface="+mn-cs"/>
                              </a:rPr>
                              <m:t>𝑟</m:t>
                            </m:r>
                          </m:sub>
                        </m:sSub>
                        <m:r>
                          <a:rPr lang="en-US" altLang="zh-TW" sz="1200" b="0" i="1">
                            <a:latin typeface="Cambria Math" panose="02040503050406030204" pitchFamily="18" charset="0"/>
                            <a:ea typeface="Cambria Math" panose="02040503050406030204" pitchFamily="18" charset="0"/>
                          </a:rPr>
                          <m:t>∗</m:t>
                        </m:r>
                        <m:r>
                          <a:rPr lang="en-US" altLang="zh-TW" sz="1200" b="0" i="1">
                            <a:latin typeface="Cambria Math" panose="02040503050406030204" pitchFamily="18" charset="0"/>
                            <a:ea typeface="Cambria Math" panose="02040503050406030204" pitchFamily="18" charset="0"/>
                          </a:rPr>
                          <m:t>𝑓</m:t>
                        </m:r>
                        <m:r>
                          <a:rPr lang="en-US" altLang="zh-TW" sz="1200" i="1">
                            <a:solidFill>
                              <a:schemeClr val="tx1"/>
                            </a:solidFill>
                            <a:effectLst/>
                            <a:latin typeface="Cambria Math" panose="02040503050406030204" pitchFamily="18" charset="0"/>
                            <a:ea typeface="+mn-ea"/>
                            <a:cs typeface="+mn-cs"/>
                          </a:rPr>
                          <m:t>∗</m:t>
                        </m:r>
                        <m:sSup>
                          <m:sSupPr>
                            <m:ctrlPr>
                              <a:rPr lang="en-US" altLang="zh-TW" sz="1200" i="1">
                                <a:solidFill>
                                  <a:schemeClr val="tx1"/>
                                </a:solidFill>
                                <a:effectLst/>
                                <a:latin typeface="Cambria Math" panose="02040503050406030204" pitchFamily="18" charset="0"/>
                                <a:ea typeface="+mn-ea"/>
                                <a:cs typeface="+mn-cs"/>
                              </a:rPr>
                            </m:ctrlPr>
                          </m:sSupPr>
                          <m:e>
                            <m:r>
                              <a:rPr lang="en-US" altLang="zh-TW" sz="1200" b="0" i="1">
                                <a:solidFill>
                                  <a:schemeClr val="tx1"/>
                                </a:solidFill>
                                <a:effectLst/>
                                <a:latin typeface="Cambria Math" panose="02040503050406030204" pitchFamily="18" charset="0"/>
                                <a:ea typeface="+mn-ea"/>
                                <a:cs typeface="+mn-cs"/>
                              </a:rPr>
                              <m:t>10</m:t>
                            </m:r>
                          </m:e>
                          <m:sup>
                            <m:r>
                              <a:rPr lang="en-US" altLang="zh-TW" sz="1200" b="0" i="1">
                                <a:solidFill>
                                  <a:schemeClr val="tx1"/>
                                </a:solidFill>
                                <a:effectLst/>
                                <a:latin typeface="Cambria Math" panose="02040503050406030204" pitchFamily="18" charset="0"/>
                                <a:ea typeface="+mn-ea"/>
                                <a:cs typeface="+mn-cs"/>
                              </a:rPr>
                              <m:t>7</m:t>
                            </m:r>
                          </m:sup>
                        </m:sSup>
                      </m:num>
                      <m:den>
                        <m:sSup>
                          <m:sSupPr>
                            <m:ctrlPr>
                              <a:rPr lang="en-US" altLang="zh-TW" sz="1200" b="0" i="1">
                                <a:solidFill>
                                  <a:schemeClr val="tx1"/>
                                </a:solidFill>
                                <a:effectLst/>
                                <a:latin typeface="Cambria Math" panose="02040503050406030204" pitchFamily="18" charset="0"/>
                                <a:ea typeface="+mn-ea"/>
                                <a:cs typeface="+mn-cs"/>
                              </a:rPr>
                            </m:ctrlPr>
                          </m:sSupPr>
                          <m:e>
                            <m:r>
                              <a:rPr lang="en-US" altLang="zh-TW" sz="1200" b="0" i="1">
                                <a:solidFill>
                                  <a:schemeClr val="tx1"/>
                                </a:solidFill>
                                <a:effectLst/>
                                <a:latin typeface="Cambria Math" panose="02040503050406030204" pitchFamily="18" charset="0"/>
                                <a:ea typeface="+mn-ea"/>
                                <a:cs typeface="+mn-cs"/>
                              </a:rPr>
                              <m:t>𝐿</m:t>
                            </m:r>
                          </m:e>
                          <m:sup>
                            <m:r>
                              <a:rPr lang="en-US" altLang="zh-TW" sz="1200" b="0" i="1">
                                <a:solidFill>
                                  <a:schemeClr val="tx1"/>
                                </a:solidFill>
                                <a:effectLst/>
                                <a:latin typeface="Cambria Math" panose="02040503050406030204" pitchFamily="18" charset="0"/>
                                <a:ea typeface="+mn-ea"/>
                                <a:cs typeface="+mn-cs"/>
                              </a:rPr>
                              <m:t>2</m:t>
                            </m:r>
                          </m:sup>
                        </m:sSup>
                      </m:den>
                    </m:f>
                  </m:oMath>
                </m:oMathPara>
              </a14:m>
              <a:endParaRPr lang="zh-TW" altLang="en-US" sz="1200"/>
            </a:p>
          </xdr:txBody>
        </xdr:sp>
      </mc:Choice>
      <mc:Fallback>
        <xdr:sp macro="" textlink="">
          <xdr:nvSpPr>
            <xdr:cNvPr id="23" name="文字方塊 22">
              <a:extLst>
                <a:ext uri="{FF2B5EF4-FFF2-40B4-BE49-F238E27FC236}">
                  <a16:creationId xmlns:a16="http://schemas.microsoft.com/office/drawing/2014/main" id="{00000000-0008-0000-0000-000017000000}"/>
                </a:ext>
              </a:extLst>
            </xdr:cNvPr>
            <xdr:cNvSpPr txBox="1"/>
          </xdr:nvSpPr>
          <xdr:spPr>
            <a:xfrm>
              <a:off x="105666" y="28281712"/>
              <a:ext cx="1091196" cy="373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200" b="0" i="0">
                  <a:latin typeface="Cambria Math" panose="02040503050406030204" pitchFamily="18" charset="0"/>
                  <a:ea typeface="Cambria Math" panose="02040503050406030204" pitchFamily="18" charset="0"/>
                </a:rPr>
                <a:t>𝑛=</a:t>
              </a:r>
              <a:r>
                <a:rPr lang="en-US" altLang="zh-TW" sz="1200" i="0">
                  <a:latin typeface="Cambria Math" panose="02040503050406030204" pitchFamily="18" charset="0"/>
                  <a:ea typeface="Cambria Math" panose="02040503050406030204" pitchFamily="18" charset="0"/>
                </a:rPr>
                <a:t>(</a:t>
              </a:r>
              <a:r>
                <a:rPr lang="en-US" altLang="zh-TW" sz="1200" b="0" i="0">
                  <a:solidFill>
                    <a:schemeClr val="tx1"/>
                  </a:solidFill>
                  <a:effectLst/>
                  <a:latin typeface="Cambria Math" panose="02040503050406030204" pitchFamily="18" charset="0"/>
                  <a:ea typeface="+mn-ea"/>
                  <a:cs typeface="+mn-cs"/>
                </a:rPr>
                <a:t>𝑑_𝑟</a:t>
              </a:r>
              <a:r>
                <a:rPr lang="en-US" altLang="zh-TW" sz="1200" b="0" i="0">
                  <a:latin typeface="Cambria Math" panose="02040503050406030204" pitchFamily="18" charset="0"/>
                  <a:ea typeface="Cambria Math" panose="02040503050406030204" pitchFamily="18" charset="0"/>
                </a:rPr>
                <a:t>∗𝑓</a:t>
              </a:r>
              <a:r>
                <a:rPr lang="en-US" altLang="zh-TW" sz="1200" i="0">
                  <a:solidFill>
                    <a:schemeClr val="tx1"/>
                  </a:solidFill>
                  <a:effectLst/>
                  <a:latin typeface="Cambria Math" panose="02040503050406030204" pitchFamily="18" charset="0"/>
                  <a:ea typeface="+mn-ea"/>
                  <a:cs typeface="+mn-cs"/>
                </a:rPr>
                <a:t>∗</a:t>
              </a:r>
              <a:r>
                <a:rPr lang="en-US" altLang="zh-TW" sz="1200" b="0" i="0">
                  <a:solidFill>
                    <a:schemeClr val="tx1"/>
                  </a:solidFill>
                  <a:effectLst/>
                  <a:latin typeface="Cambria Math" panose="02040503050406030204" pitchFamily="18" charset="0"/>
                  <a:ea typeface="+mn-ea"/>
                  <a:cs typeface="+mn-cs"/>
                </a:rPr>
                <a:t>10^7</a:t>
              </a:r>
              <a:r>
                <a:rPr lang="en-US" altLang="zh-TW" sz="1200" b="0" i="0">
                  <a:solidFill>
                    <a:schemeClr val="tx1"/>
                  </a:solidFill>
                  <a:effectLst/>
                  <a:latin typeface="Cambria Math" panose="02040503050406030204" pitchFamily="18" charset="0"/>
                  <a:ea typeface="Cambria Math" panose="02040503050406030204" pitchFamily="18" charset="0"/>
                  <a:cs typeface="+mn-cs"/>
                </a:rPr>
                <a:t>)/</a:t>
              </a:r>
              <a:r>
                <a:rPr lang="en-US" altLang="zh-TW" sz="1200" b="0" i="0">
                  <a:solidFill>
                    <a:schemeClr val="tx1"/>
                  </a:solidFill>
                  <a:effectLst/>
                  <a:latin typeface="Cambria Math" panose="02040503050406030204" pitchFamily="18" charset="0"/>
                  <a:ea typeface="+mn-ea"/>
                  <a:cs typeface="+mn-cs"/>
                </a:rPr>
                <a:t>𝐿^2 </a:t>
              </a:r>
              <a:endParaRPr lang="zh-TW" altLang="en-US" sz="1200"/>
            </a:p>
          </xdr:txBody>
        </xdr:sp>
      </mc:Fallback>
    </mc:AlternateContent>
    <xdr:clientData/>
  </xdr:oneCellAnchor>
  <xdr:oneCellAnchor>
    <xdr:from>
      <xdr:col>0</xdr:col>
      <xdr:colOff>109709</xdr:colOff>
      <xdr:row>98</xdr:row>
      <xdr:rowOff>70991</xdr:rowOff>
    </xdr:from>
    <xdr:ext cx="1044581" cy="545662"/>
    <mc:AlternateContent xmlns:mc="http://schemas.openxmlformats.org/markup-compatibility/2006">
      <mc:Choice xmlns:a14="http://schemas.microsoft.com/office/drawing/2010/main" Requires="a14">
        <xdr:sp macro="" textlink="">
          <xdr:nvSpPr>
            <xdr:cNvPr id="9" name="文字方塊 8">
              <a:extLst>
                <a:ext uri="{FF2B5EF4-FFF2-40B4-BE49-F238E27FC236}">
                  <a16:creationId xmlns:a16="http://schemas.microsoft.com/office/drawing/2014/main" id="{00000000-0008-0000-0000-000009000000}"/>
                </a:ext>
              </a:extLst>
            </xdr:cNvPr>
            <xdr:cNvSpPr txBox="1"/>
          </xdr:nvSpPr>
          <xdr:spPr>
            <a:xfrm>
              <a:off x="109709" y="24783912"/>
              <a:ext cx="1044581"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200" i="1">
                            <a:latin typeface="Cambria Math" panose="02040503050406030204" pitchFamily="18" charset="0"/>
                          </a:rPr>
                        </m:ctrlPr>
                      </m:sSubPr>
                      <m:e>
                        <m:r>
                          <a:rPr lang="en-US" altLang="zh-TW" sz="1200" b="0" i="1">
                            <a:latin typeface="Cambria Math" panose="02040503050406030204" pitchFamily="18" charset="0"/>
                          </a:rPr>
                          <m:t>𝑑</m:t>
                        </m:r>
                      </m:e>
                      <m:sub>
                        <m:r>
                          <a:rPr lang="en-US" altLang="zh-TW" sz="1200" b="0" i="1">
                            <a:latin typeface="Cambria Math" panose="02040503050406030204" pitchFamily="18" charset="0"/>
                          </a:rPr>
                          <m:t>𝑟</m:t>
                        </m:r>
                      </m:sub>
                    </m:sSub>
                    <m:r>
                      <a:rPr lang="en-US" altLang="zh-TW" sz="1200" b="0" i="1">
                        <a:latin typeface="Cambria Math" panose="02040503050406030204" pitchFamily="18" charset="0"/>
                      </a:rPr>
                      <m:t>=</m:t>
                    </m:r>
                    <m:rad>
                      <m:radPr>
                        <m:ctrlPr>
                          <a:rPr lang="en-US" altLang="zh-TW" sz="1200" b="0" i="1">
                            <a:latin typeface="Cambria Math" panose="02040503050406030204" pitchFamily="18" charset="0"/>
                          </a:rPr>
                        </m:ctrlPr>
                      </m:radPr>
                      <m:deg>
                        <m:r>
                          <m:rPr>
                            <m:brk m:alnAt="7"/>
                          </m:rPr>
                          <a:rPr lang="en-US" altLang="zh-TW" sz="1200" b="0" i="1">
                            <a:latin typeface="Cambria Math" panose="02040503050406030204" pitchFamily="18" charset="0"/>
                          </a:rPr>
                          <m:t>4</m:t>
                        </m:r>
                      </m:deg>
                      <m:e>
                        <m:f>
                          <m:fPr>
                            <m:ctrlPr>
                              <a:rPr lang="en-US" altLang="zh-TW" sz="1200" b="0" i="1">
                                <a:latin typeface="Cambria Math" panose="02040503050406030204" pitchFamily="18" charset="0"/>
                              </a:rPr>
                            </m:ctrlPr>
                          </m:fPr>
                          <m:num>
                            <m:r>
                              <a:rPr lang="en-US" altLang="zh-TW" sz="1200" b="0" i="1">
                                <a:latin typeface="Cambria Math" panose="02040503050406030204" pitchFamily="18" charset="0"/>
                              </a:rPr>
                              <m:t>𝑃</m:t>
                            </m:r>
                            <m:r>
                              <a:rPr lang="en-US" altLang="zh-TW" sz="1200" b="0" i="1">
                                <a:latin typeface="Cambria Math" panose="02040503050406030204" pitchFamily="18" charset="0"/>
                                <a:ea typeface="Cambria Math" panose="02040503050406030204" pitchFamily="18" charset="0"/>
                              </a:rPr>
                              <m:t>∗</m:t>
                            </m:r>
                            <m:sSup>
                              <m:sSupPr>
                                <m:ctrlPr>
                                  <a:rPr lang="en-US" altLang="zh-TW" sz="1200" b="0" i="1">
                                    <a:latin typeface="Cambria Math" panose="02040503050406030204" pitchFamily="18" charset="0"/>
                                    <a:ea typeface="Cambria Math" panose="02040503050406030204" pitchFamily="18" charset="0"/>
                                  </a:rPr>
                                </m:ctrlPr>
                              </m:sSupPr>
                              <m:e>
                                <m:r>
                                  <a:rPr lang="en-US" altLang="zh-TW" sz="1200" b="0" i="1">
                                    <a:latin typeface="Cambria Math" panose="02040503050406030204" pitchFamily="18" charset="0"/>
                                    <a:ea typeface="Cambria Math" panose="02040503050406030204" pitchFamily="18" charset="0"/>
                                  </a:rPr>
                                  <m:t>𝐿</m:t>
                                </m:r>
                              </m:e>
                              <m:sup>
                                <m:r>
                                  <a:rPr lang="en-US" altLang="zh-TW" sz="1200" b="0" i="1">
                                    <a:latin typeface="Cambria Math" panose="02040503050406030204" pitchFamily="18" charset="0"/>
                                    <a:ea typeface="Cambria Math" panose="02040503050406030204" pitchFamily="18" charset="0"/>
                                  </a:rPr>
                                  <m:t>2</m:t>
                                </m:r>
                              </m:sup>
                            </m:sSup>
                          </m:num>
                          <m:den>
                            <m:r>
                              <a:rPr lang="en-US" altLang="zh-TW" sz="1200" b="0" i="1">
                                <a:latin typeface="Cambria Math" panose="02040503050406030204" pitchFamily="18" charset="0"/>
                              </a:rPr>
                              <m:t>𝑚</m:t>
                            </m:r>
                            <m:r>
                              <a:rPr lang="en-US" altLang="zh-TW" sz="1200" b="0" i="1">
                                <a:latin typeface="Cambria Math" panose="02040503050406030204" pitchFamily="18" charset="0"/>
                                <a:ea typeface="Cambria Math" panose="02040503050406030204" pitchFamily="18" charset="0"/>
                              </a:rPr>
                              <m:t>∗</m:t>
                            </m:r>
                            <m:sSup>
                              <m:sSupPr>
                                <m:ctrlPr>
                                  <a:rPr lang="en-US" altLang="zh-TW" sz="1200" b="0" i="1">
                                    <a:latin typeface="Cambria Math" panose="02040503050406030204" pitchFamily="18" charset="0"/>
                                    <a:ea typeface="Cambria Math" panose="02040503050406030204" pitchFamily="18" charset="0"/>
                                  </a:rPr>
                                </m:ctrlPr>
                              </m:sSupPr>
                              <m:e>
                                <m:r>
                                  <a:rPr lang="en-US" altLang="zh-TW" sz="1200" b="0" i="1">
                                    <a:latin typeface="Cambria Math" panose="02040503050406030204" pitchFamily="18" charset="0"/>
                                    <a:ea typeface="Cambria Math" panose="02040503050406030204" pitchFamily="18" charset="0"/>
                                  </a:rPr>
                                  <m:t>10</m:t>
                                </m:r>
                              </m:e>
                              <m:sup>
                                <m:r>
                                  <a:rPr lang="en-US" altLang="zh-TW" sz="1200" b="0" i="1">
                                    <a:latin typeface="Cambria Math" panose="02040503050406030204" pitchFamily="18" charset="0"/>
                                    <a:ea typeface="Cambria Math" panose="02040503050406030204" pitchFamily="18" charset="0"/>
                                  </a:rPr>
                                  <m:t>3</m:t>
                                </m:r>
                              </m:sup>
                            </m:sSup>
                          </m:den>
                        </m:f>
                      </m:e>
                    </m:rad>
                  </m:oMath>
                </m:oMathPara>
              </a14:m>
              <a:endParaRPr lang="zh-TW" altLang="en-US" sz="1200"/>
            </a:p>
          </xdr:txBody>
        </xdr:sp>
      </mc:Choice>
      <mc:Fallback>
        <xdr:sp macro="" textlink="">
          <xdr:nvSpPr>
            <xdr:cNvPr id="9" name="文字方塊 8">
              <a:extLst>
                <a:ext uri="{FF2B5EF4-FFF2-40B4-BE49-F238E27FC236}">
                  <a16:creationId xmlns:a16="http://schemas.microsoft.com/office/drawing/2014/main" id="{00000000-0008-0000-0000-000009000000}"/>
                </a:ext>
              </a:extLst>
            </xdr:cNvPr>
            <xdr:cNvSpPr txBox="1"/>
          </xdr:nvSpPr>
          <xdr:spPr>
            <a:xfrm>
              <a:off x="109709" y="24783912"/>
              <a:ext cx="1044581"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200" b="0" i="0">
                  <a:latin typeface="Cambria Math" panose="02040503050406030204" pitchFamily="18" charset="0"/>
                </a:rPr>
                <a:t>𝑑_𝑟=∜((𝑃</a:t>
              </a:r>
              <a:r>
                <a:rPr lang="en-US" altLang="zh-TW" sz="1200" b="0" i="0">
                  <a:latin typeface="Cambria Math" panose="02040503050406030204" pitchFamily="18" charset="0"/>
                  <a:ea typeface="Cambria Math" panose="02040503050406030204" pitchFamily="18" charset="0"/>
                </a:rPr>
                <a:t>∗𝐿^2)/(</a:t>
              </a:r>
              <a:r>
                <a:rPr lang="en-US" altLang="zh-TW" sz="1200" b="0" i="0">
                  <a:latin typeface="Cambria Math" panose="02040503050406030204" pitchFamily="18" charset="0"/>
                </a:rPr>
                <a:t>𝑚</a:t>
              </a:r>
              <a:r>
                <a:rPr lang="en-US" altLang="zh-TW" sz="1200" b="0" i="0">
                  <a:latin typeface="Cambria Math" panose="02040503050406030204" pitchFamily="18" charset="0"/>
                  <a:ea typeface="Cambria Math" panose="02040503050406030204" pitchFamily="18" charset="0"/>
                </a:rPr>
                <a:t>∗10^3 ))</a:t>
              </a:r>
              <a:endParaRPr lang="zh-TW" altLang="en-US" sz="1200"/>
            </a:p>
          </xdr:txBody>
        </xdr:sp>
      </mc:Fallback>
    </mc:AlternateContent>
    <xdr:clientData/>
  </xdr:oneCellAnchor>
  <xdr:oneCellAnchor>
    <xdr:from>
      <xdr:col>0</xdr:col>
      <xdr:colOff>190501</xdr:colOff>
      <xdr:row>93</xdr:row>
      <xdr:rowOff>12848</xdr:rowOff>
    </xdr:from>
    <xdr:ext cx="564706" cy="345736"/>
    <mc:AlternateContent xmlns:mc="http://schemas.openxmlformats.org/markup-compatibility/2006">
      <mc:Choice xmlns:a14="http://schemas.microsoft.com/office/drawing/2010/main" Requires="a14">
        <xdr:sp macro="" textlink="">
          <xdr:nvSpPr>
            <xdr:cNvPr id="10" name="文字方塊 9">
              <a:extLst>
                <a:ext uri="{FF2B5EF4-FFF2-40B4-BE49-F238E27FC236}">
                  <a16:creationId xmlns:a16="http://schemas.microsoft.com/office/drawing/2014/main" id="{00000000-0008-0000-0000-00000A000000}"/>
                </a:ext>
              </a:extLst>
            </xdr:cNvPr>
            <xdr:cNvSpPr txBox="1"/>
          </xdr:nvSpPr>
          <xdr:spPr>
            <a:xfrm>
              <a:off x="190501" y="19413697"/>
              <a:ext cx="564706" cy="345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200" i="1">
                            <a:latin typeface="Cambria Math" panose="02040503050406030204" pitchFamily="18" charset="0"/>
                          </a:rPr>
                        </m:ctrlPr>
                      </m:sSubPr>
                      <m:e>
                        <m:r>
                          <a:rPr lang="en-US" altLang="zh-TW" sz="1200" b="0" i="1">
                            <a:latin typeface="Cambria Math" panose="02040503050406030204" pitchFamily="18" charset="0"/>
                          </a:rPr>
                          <m:t>𝑑</m:t>
                        </m:r>
                      </m:e>
                      <m:sub>
                        <m:r>
                          <a:rPr lang="en-US" altLang="zh-TW" sz="1200" b="0" i="1">
                            <a:latin typeface="Cambria Math" panose="02040503050406030204" pitchFamily="18" charset="0"/>
                          </a:rPr>
                          <m:t>𝑟</m:t>
                        </m:r>
                      </m:sub>
                    </m:sSub>
                    <m:r>
                      <a:rPr lang="en-US" altLang="zh-TW" sz="1200" i="1">
                        <a:latin typeface="Cambria Math" panose="02040503050406030204" pitchFamily="18" charset="0"/>
                        <a:ea typeface="Cambria Math" panose="02040503050406030204" pitchFamily="18" charset="0"/>
                      </a:rPr>
                      <m:t>≥</m:t>
                    </m:r>
                    <m:f>
                      <m:fPr>
                        <m:ctrlPr>
                          <a:rPr lang="en-US" altLang="zh-TW" sz="1200" i="1">
                            <a:latin typeface="Cambria Math" panose="02040503050406030204" pitchFamily="18" charset="0"/>
                            <a:ea typeface="Cambria Math" panose="02040503050406030204" pitchFamily="18" charset="0"/>
                          </a:rPr>
                        </m:ctrlPr>
                      </m:fPr>
                      <m:num>
                        <m:r>
                          <m:rPr>
                            <m:sty m:val="p"/>
                          </m:rPr>
                          <a:rPr lang="en-US" altLang="zh-TW" sz="1200" i="1">
                            <a:latin typeface="Cambria Math" panose="02040503050406030204" pitchFamily="18" charset="0"/>
                            <a:ea typeface="Cambria Math" panose="02040503050406030204" pitchFamily="18" charset="0"/>
                          </a:rPr>
                          <m:t>L</m:t>
                        </m:r>
                      </m:num>
                      <m:den>
                        <m:r>
                          <a:rPr lang="en-US" altLang="zh-TW" sz="1200" b="0" i="1">
                            <a:latin typeface="Cambria Math" panose="02040503050406030204" pitchFamily="18" charset="0"/>
                            <a:ea typeface="Cambria Math" panose="02040503050406030204" pitchFamily="18" charset="0"/>
                          </a:rPr>
                          <m:t>60</m:t>
                        </m:r>
                      </m:den>
                    </m:f>
                  </m:oMath>
                </m:oMathPara>
              </a14:m>
              <a:endParaRPr lang="zh-TW" altLang="en-US" sz="1200"/>
            </a:p>
          </xdr:txBody>
        </xdr:sp>
      </mc:Choice>
      <mc:Fallback>
        <xdr:sp macro="" textlink="">
          <xdr:nvSpPr>
            <xdr:cNvPr id="10" name="文字方塊 9">
              <a:extLst>
                <a:ext uri="{FF2B5EF4-FFF2-40B4-BE49-F238E27FC236}">
                  <a16:creationId xmlns:a16="http://schemas.microsoft.com/office/drawing/2014/main" id="{00000000-0008-0000-0000-00000A000000}"/>
                </a:ext>
              </a:extLst>
            </xdr:cNvPr>
            <xdr:cNvSpPr txBox="1"/>
          </xdr:nvSpPr>
          <xdr:spPr>
            <a:xfrm>
              <a:off x="190501" y="19413697"/>
              <a:ext cx="564706" cy="345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200" b="0" i="0">
                  <a:latin typeface="Cambria Math" panose="02040503050406030204" pitchFamily="18" charset="0"/>
                </a:rPr>
                <a:t>𝑑_𝑟</a:t>
              </a:r>
              <a:r>
                <a:rPr lang="en-US" altLang="zh-TW" sz="1200" i="0">
                  <a:latin typeface="Cambria Math" panose="02040503050406030204" pitchFamily="18" charset="0"/>
                  <a:ea typeface="Cambria Math" panose="02040503050406030204" pitchFamily="18" charset="0"/>
                </a:rPr>
                <a:t>≥L/</a:t>
              </a:r>
              <a:r>
                <a:rPr lang="en-US" altLang="zh-TW" sz="1200" b="0" i="0">
                  <a:latin typeface="Cambria Math" panose="02040503050406030204" pitchFamily="18" charset="0"/>
                  <a:ea typeface="Cambria Math" panose="02040503050406030204" pitchFamily="18" charset="0"/>
                </a:rPr>
                <a:t>60</a:t>
              </a:r>
              <a:endParaRPr lang="zh-TW" altLang="en-US" sz="1200"/>
            </a:p>
          </xdr:txBody>
        </xdr:sp>
      </mc:Fallback>
    </mc:AlternateContent>
    <xdr:clientData/>
  </xdr:oneCellAnchor>
  <xdr:oneCellAnchor>
    <xdr:from>
      <xdr:col>0</xdr:col>
      <xdr:colOff>315763</xdr:colOff>
      <xdr:row>51</xdr:row>
      <xdr:rowOff>71813</xdr:rowOff>
    </xdr:from>
    <xdr:ext cx="537006" cy="438518"/>
    <mc:AlternateContent xmlns:mc="http://schemas.openxmlformats.org/markup-compatibility/2006">
      <mc:Choice xmlns:a14="http://schemas.microsoft.com/office/drawing/2010/main" Requires="a14">
        <xdr:sp macro="" textlink="">
          <xdr:nvSpPr>
            <xdr:cNvPr id="11" name="文字方塊 10">
              <a:extLst>
                <a:ext uri="{FF2B5EF4-FFF2-40B4-BE49-F238E27FC236}">
                  <a16:creationId xmlns:a16="http://schemas.microsoft.com/office/drawing/2014/main" id="{9420FD69-48B1-4322-9CA1-AF0A86C0FFDE}"/>
                </a:ext>
              </a:extLst>
            </xdr:cNvPr>
            <xdr:cNvSpPr txBox="1"/>
          </xdr:nvSpPr>
          <xdr:spPr>
            <a:xfrm>
              <a:off x="315763" y="11013914"/>
              <a:ext cx="537006" cy="438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US" altLang="zh-TW" sz="1400" b="0" i="1">
                        <a:latin typeface="Cambria Math" panose="02040503050406030204" pitchFamily="18" charset="0"/>
                      </a:rPr>
                      <m:t>𝑖</m:t>
                    </m:r>
                    <m:r>
                      <a:rPr lang="en-US" altLang="zh-TW" sz="1400" b="0" i="1">
                        <a:latin typeface="Cambria Math" panose="02040503050406030204" pitchFamily="18" charset="0"/>
                      </a:rPr>
                      <m:t>=</m:t>
                    </m:r>
                    <m:f>
                      <m:fPr>
                        <m:ctrlPr>
                          <a:rPr lang="en-US" altLang="zh-TW" sz="1400" b="0" i="1">
                            <a:latin typeface="Cambria Math" panose="02040503050406030204" pitchFamily="18" charset="0"/>
                          </a:rPr>
                        </m:ctrlPr>
                      </m:fPr>
                      <m:num>
                        <m:sSub>
                          <m:sSubPr>
                            <m:ctrlPr>
                              <a:rPr lang="en-US" altLang="zh-TW" sz="1400" b="0" i="1">
                                <a:latin typeface="Cambria Math" panose="02040503050406030204" pitchFamily="18" charset="0"/>
                              </a:rPr>
                            </m:ctrlPr>
                          </m:sSubPr>
                          <m:e>
                            <m:r>
                              <a:rPr lang="en-US" altLang="zh-TW" sz="1400" b="0" i="1">
                                <a:latin typeface="Cambria Math" panose="02040503050406030204" pitchFamily="18" charset="0"/>
                              </a:rPr>
                              <m:t>𝑁</m:t>
                            </m:r>
                          </m:e>
                          <m:sub>
                            <m:r>
                              <a:rPr lang="en-US" altLang="zh-TW" sz="1400" b="0" i="1">
                                <a:latin typeface="Cambria Math" panose="02040503050406030204" pitchFamily="18" charset="0"/>
                              </a:rPr>
                              <m:t>2</m:t>
                            </m:r>
                          </m:sub>
                        </m:sSub>
                      </m:num>
                      <m:den>
                        <m:sSub>
                          <m:sSubPr>
                            <m:ctrlPr>
                              <a:rPr lang="en-US" altLang="zh-TW" sz="1400" b="0" i="1">
                                <a:latin typeface="Cambria Math" panose="02040503050406030204" pitchFamily="18" charset="0"/>
                              </a:rPr>
                            </m:ctrlPr>
                          </m:sSubPr>
                          <m:e>
                            <m:r>
                              <a:rPr lang="en-US" altLang="zh-TW" sz="1400" b="0" i="1">
                                <a:latin typeface="Cambria Math" panose="02040503050406030204" pitchFamily="18" charset="0"/>
                              </a:rPr>
                              <m:t>𝑁</m:t>
                            </m:r>
                          </m:e>
                          <m:sub>
                            <m:r>
                              <a:rPr lang="en-US" altLang="zh-TW" sz="1400" b="0" i="1">
                                <a:latin typeface="Cambria Math" panose="02040503050406030204" pitchFamily="18" charset="0"/>
                              </a:rPr>
                              <m:t>1</m:t>
                            </m:r>
                          </m:sub>
                        </m:sSub>
                      </m:den>
                    </m:f>
                  </m:oMath>
                </m:oMathPara>
              </a14:m>
              <a:endParaRPr lang="zh-TW" altLang="en-US" sz="1400"/>
            </a:p>
          </xdr:txBody>
        </xdr:sp>
      </mc:Choice>
      <mc:Fallback>
        <xdr:sp macro="" textlink="">
          <xdr:nvSpPr>
            <xdr:cNvPr id="11" name="文字方塊 10">
              <a:extLst>
                <a:ext uri="{FF2B5EF4-FFF2-40B4-BE49-F238E27FC236}">
                  <a16:creationId xmlns:a16="http://schemas.microsoft.com/office/drawing/2014/main" id="{9420FD69-48B1-4322-9CA1-AF0A86C0FFDE}"/>
                </a:ext>
              </a:extLst>
            </xdr:cNvPr>
            <xdr:cNvSpPr txBox="1"/>
          </xdr:nvSpPr>
          <xdr:spPr>
            <a:xfrm>
              <a:off x="315763" y="11013914"/>
              <a:ext cx="537006" cy="438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altLang="zh-TW" sz="1400" b="0" i="0">
                  <a:latin typeface="Cambria Math" panose="02040503050406030204" pitchFamily="18" charset="0"/>
                </a:rPr>
                <a:t>𝑖=𝑁_2/𝑁_1 </a:t>
              </a:r>
              <a:endParaRPr lang="zh-TW" altLang="en-US" sz="14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0</xdr:col>
      <xdr:colOff>366462</xdr:colOff>
      <xdr:row>11</xdr:row>
      <xdr:rowOff>29878</xdr:rowOff>
    </xdr:from>
    <xdr:ext cx="667182" cy="369971"/>
    <mc:AlternateContent xmlns:mc="http://schemas.openxmlformats.org/markup-compatibility/2006" xmlns:a14="http://schemas.microsoft.com/office/drawing/2010/main">
      <mc:Choice Requires="a14">
        <xdr:sp macro="" textlink="">
          <xdr:nvSpPr>
            <xdr:cNvPr id="2" name="文字方塊 1">
              <a:extLst>
                <a:ext uri="{FF2B5EF4-FFF2-40B4-BE49-F238E27FC236}">
                  <a16:creationId xmlns:a16="http://schemas.microsoft.com/office/drawing/2014/main" id="{00000000-0008-0000-0100-000002000000}"/>
                </a:ext>
              </a:extLst>
            </xdr:cNvPr>
            <xdr:cNvSpPr txBox="1"/>
          </xdr:nvSpPr>
          <xdr:spPr>
            <a:xfrm>
              <a:off x="362652" y="2466373"/>
              <a:ext cx="667182" cy="369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2" name="文字方塊 1">
              <a:extLst>
                <a:ext uri="{FF2B5EF4-FFF2-40B4-BE49-F238E27FC236}">
                  <a16:creationId xmlns:a16="http://schemas.microsoft.com/office/drawing/2014/main" id="{8E196231-2F86-444E-83DF-9BEFBB15F4B0}"/>
                </a:ext>
              </a:extLst>
            </xdr:cNvPr>
            <xdr:cNvSpPr txBox="1"/>
          </xdr:nvSpPr>
          <xdr:spPr>
            <a:xfrm>
              <a:off x="362652" y="2466373"/>
              <a:ext cx="667182" cy="369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5</xdr:col>
      <xdr:colOff>263893</xdr:colOff>
      <xdr:row>15</xdr:row>
      <xdr:rowOff>18447</xdr:rowOff>
    </xdr:from>
    <xdr:ext cx="1711292" cy="364395"/>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100-000003000000}"/>
                </a:ext>
              </a:extLst>
            </xdr:cNvPr>
            <xdr:cNvSpPr txBox="1"/>
          </xdr:nvSpPr>
          <xdr:spPr>
            <a:xfrm>
              <a:off x="4931143" y="3270282"/>
              <a:ext cx="171129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r>
                          <a:rPr lang="zh-TW" altLang="en-US"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7BAE4A89-7518-4107-8D30-0C0EAB4E5136}"/>
                </a:ext>
              </a:extLst>
            </xdr:cNvPr>
            <xdr:cNvSpPr txBox="1"/>
          </xdr:nvSpPr>
          <xdr:spPr>
            <a:xfrm>
              <a:off x="4931143" y="3270282"/>
              <a:ext cx="171129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𝑇_𝑑𝑟𝑖𝑣𝑒</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 )</a:t>
              </a:r>
              <a:endParaRPr lang="zh-TW" altLang="en-US" sz="1100"/>
            </a:p>
          </xdr:txBody>
        </xdr:sp>
      </mc:Fallback>
    </mc:AlternateContent>
    <xdr:clientData/>
  </xdr:oneCellAnchor>
  <xdr:oneCellAnchor>
    <xdr:from>
      <xdr:col>0</xdr:col>
      <xdr:colOff>284646</xdr:colOff>
      <xdr:row>15</xdr:row>
      <xdr:rowOff>97657</xdr:rowOff>
    </xdr:from>
    <xdr:ext cx="1584123" cy="24063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100-000004000000}"/>
                </a:ext>
              </a:extLst>
            </xdr:cNvPr>
            <xdr:cNvSpPr txBox="1"/>
          </xdr:nvSpPr>
          <xdr:spPr>
            <a:xfrm>
              <a:off x="288456" y="334187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4" name="文字方塊 3">
              <a:extLst>
                <a:ext uri="{FF2B5EF4-FFF2-40B4-BE49-F238E27FC236}">
                  <a16:creationId xmlns:a16="http://schemas.microsoft.com/office/drawing/2014/main" id="{AF15D261-52E0-41AC-8866-AC669BFFC148}"/>
                </a:ext>
              </a:extLst>
            </xdr:cNvPr>
            <xdr:cNvSpPr txBox="1"/>
          </xdr:nvSpPr>
          <xdr:spPr>
            <a:xfrm>
              <a:off x="288456" y="334187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0</xdr:col>
      <xdr:colOff>345809</xdr:colOff>
      <xdr:row>5</xdr:row>
      <xdr:rowOff>61361</xdr:rowOff>
    </xdr:from>
    <xdr:ext cx="1259305" cy="345544"/>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100-000005000000}"/>
                </a:ext>
              </a:extLst>
            </xdr:cNvPr>
            <xdr:cNvSpPr txBox="1"/>
          </xdr:nvSpPr>
          <xdr:spPr>
            <a:xfrm>
              <a:off x="345809" y="1191026"/>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den>
                    </m:f>
                  </m:oMath>
                </m:oMathPara>
              </a14:m>
              <a:endParaRPr lang="zh-TW" altLang="en-US" sz="1100"/>
            </a:p>
          </xdr:txBody>
        </xdr:sp>
      </mc:Choice>
      <mc:Fallback xmlns="">
        <xdr:sp macro="" textlink="">
          <xdr:nvSpPr>
            <xdr:cNvPr id="5" name="文字方塊 4">
              <a:extLst>
                <a:ext uri="{FF2B5EF4-FFF2-40B4-BE49-F238E27FC236}">
                  <a16:creationId xmlns:a16="http://schemas.microsoft.com/office/drawing/2014/main" id="{0A98EA70-BE59-49F1-9401-57220DB3E206}"/>
                </a:ext>
              </a:extLst>
            </xdr:cNvPr>
            <xdr:cNvSpPr txBox="1"/>
          </xdr:nvSpPr>
          <xdr:spPr>
            <a:xfrm>
              <a:off x="345809" y="1191026"/>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en-US" altLang="zh-TW" sz="1100" b="0" i="0">
                  <a:solidFill>
                    <a:schemeClr val="tx1"/>
                  </a:solidFill>
                  <a:effectLst/>
                  <a:latin typeface="Cambria Math" panose="02040503050406030204" pitchFamily="18" charset="0"/>
                  <a:ea typeface="+mn-ea"/>
                  <a:cs typeface="+mn-cs"/>
                </a:rPr>
                <a:t>)</a:t>
              </a:r>
              <a:endParaRPr lang="zh-TW" altLang="en-US" sz="1100"/>
            </a:p>
          </xdr:txBody>
        </xdr:sp>
      </mc:Fallback>
    </mc:AlternateContent>
    <xdr:clientData/>
  </xdr:oneCellAnchor>
  <xdr:oneCellAnchor>
    <xdr:from>
      <xdr:col>1</xdr:col>
      <xdr:colOff>494498</xdr:colOff>
      <xdr:row>15</xdr:row>
      <xdr:rowOff>16543</xdr:rowOff>
    </xdr:from>
    <xdr:ext cx="2009845" cy="364395"/>
    <mc:AlternateContent xmlns:mc="http://schemas.openxmlformats.org/markup-compatibility/2006" xmlns:a14="http://schemas.microsoft.com/office/drawing/2010/main">
      <mc:Choice Requires="a14">
        <xdr:sp macro="" textlink="">
          <xdr:nvSpPr>
            <xdr:cNvPr id="6" name="文字方塊 5">
              <a:extLst>
                <a:ext uri="{FF2B5EF4-FFF2-40B4-BE49-F238E27FC236}">
                  <a16:creationId xmlns:a16="http://schemas.microsoft.com/office/drawing/2014/main" id="{00000000-0008-0000-0100-000006000000}"/>
                </a:ext>
              </a:extLst>
            </xdr:cNvPr>
            <xdr:cNvSpPr txBox="1"/>
          </xdr:nvSpPr>
          <xdr:spPr>
            <a:xfrm>
              <a:off x="2361398" y="3268378"/>
              <a:ext cx="200984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num>
                      <m:den>
                        <m:r>
                          <a:rPr lang="en-US" altLang="zh-TW" sz="1100" b="0" i="1">
                            <a:latin typeface="Cambria Math" panose="02040503050406030204" pitchFamily="18" charset="0"/>
                          </a:rPr>
                          <m:t>𝑖</m:t>
                        </m:r>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en-US" altLang="zh-TW" sz="1100" b="0" i="1">
                                <a:latin typeface="Cambria Math" panose="02040503050406030204" pitchFamily="18" charset="0"/>
                                <a:ea typeface="Cambria Math" panose="02040503050406030204" pitchFamily="18" charset="0"/>
                              </a:rPr>
                              <m:t>𝑁</m:t>
                            </m:r>
                          </m:e>
                          <m:sub>
                            <m:r>
                              <a:rPr lang="en-US" altLang="zh-TW" sz="1100" b="0" i="1">
                                <a:latin typeface="Cambria Math" panose="02040503050406030204" pitchFamily="18" charset="0"/>
                                <a:ea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oMath>
                </m:oMathPara>
              </a14:m>
              <a:endParaRPr lang="zh-TW" altLang="en-US" sz="1100"/>
            </a:p>
          </xdr:txBody>
        </xdr:sp>
      </mc:Choice>
      <mc:Fallback xmlns="">
        <xdr:sp macro="" textlink="">
          <xdr:nvSpPr>
            <xdr:cNvPr id="6" name="文字方塊 5">
              <a:extLst>
                <a:ext uri="{FF2B5EF4-FFF2-40B4-BE49-F238E27FC236}">
                  <a16:creationId xmlns:a16="http://schemas.microsoft.com/office/drawing/2014/main" id="{2B610981-B3F5-4434-8F75-C07BEB92A300}"/>
                </a:ext>
              </a:extLst>
            </xdr:cNvPr>
            <xdr:cNvSpPr txBox="1"/>
          </xdr:nvSpPr>
          <xdr:spPr>
            <a:xfrm>
              <a:off x="2361398" y="3268378"/>
              <a:ext cx="200984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100" b="0" i="0">
                  <a:latin typeface="Cambria Math" panose="02040503050406030204" pitchFamily="18" charset="0"/>
                </a:rPr>
                <a:t>𝑇_𝑑𝑟𝑖𝑣𝑒=𝑇_𝑎𝑥𝑖𝑎𝑙/(𝑖</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r>
                <a:rPr lang="en-US" altLang="zh-TW" sz="1100" b="0" i="0">
                  <a:latin typeface="Cambria Math" panose="02040503050406030204" pitchFamily="18" charset="0"/>
                </a:rPr>
                <a:t>=(𝑇_𝑎𝑥𝑖𝑎𝑙</a:t>
              </a:r>
              <a:r>
                <a:rPr lang="en-US" altLang="zh-TW" sz="1100" b="0" i="0">
                  <a:latin typeface="Cambria Math" panose="02040503050406030204" pitchFamily="18" charset="0"/>
                  <a:ea typeface="Cambria Math" panose="02040503050406030204" pitchFamily="18" charset="0"/>
                </a:rPr>
                <a:t>∗𝑁_2)/(</a:t>
              </a:r>
              <a:r>
                <a:rPr lang="en-US" altLang="zh-TW" sz="1100" b="0" i="0">
                  <a:latin typeface="Cambria Math" panose="02040503050406030204" pitchFamily="18" charset="0"/>
                </a:rPr>
                <a:t>𝑁_1</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endParaRPr lang="zh-TW" alt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0</xdr:col>
      <xdr:colOff>324394</xdr:colOff>
      <xdr:row>14</xdr:row>
      <xdr:rowOff>165463</xdr:rowOff>
    </xdr:from>
    <xdr:ext cx="65" cy="172227"/>
    <xdr:sp macro="" textlink="">
      <xdr:nvSpPr>
        <xdr:cNvPr id="2" name="文字方塊 1">
          <a:extLst>
            <a:ext uri="{FF2B5EF4-FFF2-40B4-BE49-F238E27FC236}">
              <a16:creationId xmlns:a16="http://schemas.microsoft.com/office/drawing/2014/main" id="{00000000-0008-0000-0200-000002000000}"/>
            </a:ext>
          </a:extLst>
        </xdr:cNvPr>
        <xdr:cNvSpPr txBox="1"/>
      </xdr:nvSpPr>
      <xdr:spPr>
        <a:xfrm>
          <a:off x="320584" y="320774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TW" altLang="en-US"/>
        </a:p>
      </xdr:txBody>
    </xdr:sp>
    <xdr:clientData/>
  </xdr:oneCellAnchor>
  <xdr:oneCellAnchor>
    <xdr:from>
      <xdr:col>0</xdr:col>
      <xdr:colOff>1012371</xdr:colOff>
      <xdr:row>4</xdr:row>
      <xdr:rowOff>15784</xdr:rowOff>
    </xdr:from>
    <xdr:ext cx="651172" cy="396240"/>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200-000003000000}"/>
                </a:ext>
              </a:extLst>
            </xdr:cNvPr>
            <xdr:cNvSpPr txBox="1"/>
          </xdr:nvSpPr>
          <xdr:spPr>
            <a:xfrm>
              <a:off x="1008561" y="943519"/>
              <a:ext cx="651172"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7927BFBC-FE5E-4C97-A9AC-1C9F982DADD9}"/>
                </a:ext>
              </a:extLst>
            </xdr:cNvPr>
            <xdr:cNvSpPr txBox="1"/>
          </xdr:nvSpPr>
          <xdr:spPr>
            <a:xfrm>
              <a:off x="1008561" y="943519"/>
              <a:ext cx="651172"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0</xdr:col>
      <xdr:colOff>849901</xdr:colOff>
      <xdr:row>8</xdr:row>
      <xdr:rowOff>88991</xdr:rowOff>
    </xdr:from>
    <xdr:ext cx="1584123" cy="24063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200-000004000000}"/>
                </a:ext>
              </a:extLst>
            </xdr:cNvPr>
            <xdr:cNvSpPr txBox="1"/>
          </xdr:nvSpPr>
          <xdr:spPr>
            <a:xfrm>
              <a:off x="853711" y="1873976"/>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4" name="文字方塊 3">
              <a:extLst>
                <a:ext uri="{FF2B5EF4-FFF2-40B4-BE49-F238E27FC236}">
                  <a16:creationId xmlns:a16="http://schemas.microsoft.com/office/drawing/2014/main" id="{06C1492C-A8A2-4E08-B07E-5F41BB8C994D}"/>
                </a:ext>
              </a:extLst>
            </xdr:cNvPr>
            <xdr:cNvSpPr txBox="1"/>
          </xdr:nvSpPr>
          <xdr:spPr>
            <a:xfrm>
              <a:off x="853711" y="1873976"/>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0</xdr:col>
      <xdr:colOff>623752</xdr:colOff>
      <xdr:row>14</xdr:row>
      <xdr:rowOff>12519</xdr:rowOff>
    </xdr:from>
    <xdr:ext cx="1415686" cy="346633"/>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200-000005000000}"/>
                </a:ext>
              </a:extLst>
            </xdr:cNvPr>
            <xdr:cNvSpPr txBox="1"/>
          </xdr:nvSpPr>
          <xdr:spPr>
            <a:xfrm>
              <a:off x="627562" y="3054804"/>
              <a:ext cx="1415686" cy="346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m:t>
                            </m:r>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5" name="文字方塊 4">
              <a:extLst>
                <a:ext uri="{FF2B5EF4-FFF2-40B4-BE49-F238E27FC236}">
                  <a16:creationId xmlns:a16="http://schemas.microsoft.com/office/drawing/2014/main" id="{BD4B7DCC-D680-4F79-B3A6-3CAA469060FB}"/>
                </a:ext>
              </a:extLst>
            </xdr:cNvPr>
            <xdr:cNvSpPr txBox="1"/>
          </xdr:nvSpPr>
          <xdr:spPr>
            <a:xfrm>
              <a:off x="627562" y="3054804"/>
              <a:ext cx="1415686" cy="346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𝑃_ℎ </a:t>
              </a:r>
              <a:endParaRPr lang="zh-TW" altLang="en-US" sz="1100"/>
            </a:p>
          </xdr:txBody>
        </xdr:sp>
      </mc:Fallback>
    </mc:AlternateContent>
    <xdr:clientData/>
  </xdr:oneCellAnchor>
  <xdr:oneCellAnchor>
    <xdr:from>
      <xdr:col>1</xdr:col>
      <xdr:colOff>582658</xdr:colOff>
      <xdr:row>14</xdr:row>
      <xdr:rowOff>13061</xdr:rowOff>
    </xdr:from>
    <xdr:ext cx="2111556" cy="353302"/>
    <mc:AlternateContent xmlns:mc="http://schemas.openxmlformats.org/markup-compatibility/2006" xmlns:a14="http://schemas.microsoft.com/office/drawing/2010/main">
      <mc:Choice Requires="a14">
        <xdr:sp macro="" textlink="">
          <xdr:nvSpPr>
            <xdr:cNvPr id="6" name="文字方塊 5">
              <a:extLst>
                <a:ext uri="{FF2B5EF4-FFF2-40B4-BE49-F238E27FC236}">
                  <a16:creationId xmlns:a16="http://schemas.microsoft.com/office/drawing/2014/main" id="{00000000-0008-0000-0200-000006000000}"/>
                </a:ext>
              </a:extLst>
            </xdr:cNvPr>
            <xdr:cNvSpPr txBox="1"/>
          </xdr:nvSpPr>
          <xdr:spPr>
            <a:xfrm>
              <a:off x="2508613" y="3055346"/>
              <a:ext cx="211155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6" name="文字方塊 5">
              <a:extLst>
                <a:ext uri="{FF2B5EF4-FFF2-40B4-BE49-F238E27FC236}">
                  <a16:creationId xmlns:a16="http://schemas.microsoft.com/office/drawing/2014/main" id="{8D297CFF-7265-4FBC-8B37-D16F64865822}"/>
                </a:ext>
              </a:extLst>
            </xdr:cNvPr>
            <xdr:cNvSpPr txBox="1"/>
          </xdr:nvSpPr>
          <xdr:spPr>
            <a:xfrm>
              <a:off x="2508613" y="3055346"/>
              <a:ext cx="211155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𝑇_𝑑𝑟𝑖𝑣𝑒∗</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r>
                <a:rPr lang="en-US" altLang="zh-TW" sz="1100" b="0" i="0">
                  <a:latin typeface="Cambria Math" panose="02040503050406030204" pitchFamily="18" charset="0"/>
                </a:rPr>
                <a:t>𝑃_ℎ </a:t>
              </a:r>
              <a:endParaRPr lang="zh-TW" alt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259080</xdr:colOff>
          <xdr:row>143</xdr:row>
          <xdr:rowOff>0</xdr:rowOff>
        </xdr:from>
        <xdr:to>
          <xdr:col>0</xdr:col>
          <xdr:colOff>693420</xdr:colOff>
          <xdr:row>143</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60960</xdr:colOff>
          <xdr:row>130</xdr:row>
          <xdr:rowOff>114300</xdr:rowOff>
        </xdr:from>
        <xdr:to>
          <xdr:col>1</xdr:col>
          <xdr:colOff>510540</xdr:colOff>
          <xdr:row>131</xdr:row>
          <xdr:rowOff>106680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60960</xdr:colOff>
          <xdr:row>134</xdr:row>
          <xdr:rowOff>15240</xdr:rowOff>
        </xdr:from>
        <xdr:to>
          <xdr:col>1</xdr:col>
          <xdr:colOff>266700</xdr:colOff>
          <xdr:row>136</xdr:row>
          <xdr:rowOff>68580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146</xdr:row>
          <xdr:rowOff>15240</xdr:rowOff>
        </xdr:from>
        <xdr:to>
          <xdr:col>0</xdr:col>
          <xdr:colOff>594360</xdr:colOff>
          <xdr:row>148</xdr:row>
          <xdr:rowOff>7620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149</xdr:row>
          <xdr:rowOff>0</xdr:rowOff>
        </xdr:from>
        <xdr:to>
          <xdr:col>0</xdr:col>
          <xdr:colOff>678180</xdr:colOff>
          <xdr:row>149</xdr:row>
          <xdr:rowOff>15240</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300-00000B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53340</xdr:colOff>
          <xdr:row>89</xdr:row>
          <xdr:rowOff>15240</xdr:rowOff>
        </xdr:from>
        <xdr:to>
          <xdr:col>0</xdr:col>
          <xdr:colOff>944880</xdr:colOff>
          <xdr:row>91</xdr:row>
          <xdr:rowOff>0</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300-00000D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84</xdr:row>
          <xdr:rowOff>22860</xdr:rowOff>
        </xdr:from>
        <xdr:to>
          <xdr:col>0</xdr:col>
          <xdr:colOff>434340</xdr:colOff>
          <xdr:row>86</xdr:row>
          <xdr:rowOff>0</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300-00000E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104</xdr:row>
          <xdr:rowOff>7620</xdr:rowOff>
        </xdr:from>
        <xdr:to>
          <xdr:col>0</xdr:col>
          <xdr:colOff>746760</xdr:colOff>
          <xdr:row>105</xdr:row>
          <xdr:rowOff>144780</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300-00000F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102</xdr:row>
          <xdr:rowOff>15240</xdr:rowOff>
        </xdr:from>
        <xdr:to>
          <xdr:col>0</xdr:col>
          <xdr:colOff>655320</xdr:colOff>
          <xdr:row>103</xdr:row>
          <xdr:rowOff>160020</xdr:rowOff>
        </xdr:to>
        <xdr:sp macro="" textlink="">
          <xdr:nvSpPr>
            <xdr:cNvPr id="2064" name="Object 16" hidden="1">
              <a:extLst>
                <a:ext uri="{63B3BB69-23CF-44E3-9099-C40C66FF867C}">
                  <a14:compatExt spid="_x0000_s2064"/>
                </a:ext>
                <a:ext uri="{FF2B5EF4-FFF2-40B4-BE49-F238E27FC236}">
                  <a16:creationId xmlns:a16="http://schemas.microsoft.com/office/drawing/2014/main" id="{00000000-0008-0000-0300-000010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22860</xdr:colOff>
          <xdr:row>120</xdr:row>
          <xdr:rowOff>15240</xdr:rowOff>
        </xdr:from>
        <xdr:to>
          <xdr:col>4</xdr:col>
          <xdr:colOff>281940</xdr:colOff>
          <xdr:row>122</xdr:row>
          <xdr:rowOff>30480</xdr:rowOff>
        </xdr:to>
        <xdr:sp macro="" textlink="">
          <xdr:nvSpPr>
            <xdr:cNvPr id="2065" name="Object 17" hidden="1">
              <a:extLst>
                <a:ext uri="{63B3BB69-23CF-44E3-9099-C40C66FF867C}">
                  <a14:compatExt spid="_x0000_s2065"/>
                </a:ext>
                <a:ext uri="{FF2B5EF4-FFF2-40B4-BE49-F238E27FC236}">
                  <a16:creationId xmlns:a16="http://schemas.microsoft.com/office/drawing/2014/main" id="{00000000-0008-0000-0300-00001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58</xdr:row>
          <xdr:rowOff>15240</xdr:rowOff>
        </xdr:from>
        <xdr:to>
          <xdr:col>1</xdr:col>
          <xdr:colOff>327660</xdr:colOff>
          <xdr:row>60</xdr:row>
          <xdr:rowOff>15240</xdr:rowOff>
        </xdr:to>
        <xdr:sp macro="" textlink="">
          <xdr:nvSpPr>
            <xdr:cNvPr id="2066" name="Object 18" hidden="1">
              <a:extLst>
                <a:ext uri="{63B3BB69-23CF-44E3-9099-C40C66FF867C}">
                  <a14:compatExt spid="_x0000_s2066"/>
                </a:ext>
                <a:ext uri="{FF2B5EF4-FFF2-40B4-BE49-F238E27FC236}">
                  <a16:creationId xmlns:a16="http://schemas.microsoft.com/office/drawing/2014/main" id="{00000000-0008-0000-0300-00001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xdr:colOff>
          <xdr:row>116</xdr:row>
          <xdr:rowOff>15240</xdr:rowOff>
        </xdr:from>
        <xdr:to>
          <xdr:col>1</xdr:col>
          <xdr:colOff>0</xdr:colOff>
          <xdr:row>117</xdr:row>
          <xdr:rowOff>144780</xdr:rowOff>
        </xdr:to>
        <xdr:sp macro="" textlink="">
          <xdr:nvSpPr>
            <xdr:cNvPr id="2067" name="Object 19" hidden="1">
              <a:extLst>
                <a:ext uri="{63B3BB69-23CF-44E3-9099-C40C66FF867C}">
                  <a14:compatExt spid="_x0000_s2067"/>
                </a:ext>
                <a:ext uri="{FF2B5EF4-FFF2-40B4-BE49-F238E27FC236}">
                  <a16:creationId xmlns:a16="http://schemas.microsoft.com/office/drawing/2014/main" id="{00000000-0008-0000-0300-00001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xdr:colOff>
          <xdr:row>120</xdr:row>
          <xdr:rowOff>15240</xdr:rowOff>
        </xdr:from>
        <xdr:to>
          <xdr:col>1</xdr:col>
          <xdr:colOff>861060</xdr:colOff>
          <xdr:row>122</xdr:row>
          <xdr:rowOff>22860</xdr:rowOff>
        </xdr:to>
        <xdr:sp macro="" textlink="">
          <xdr:nvSpPr>
            <xdr:cNvPr id="2068" name="Object 20" hidden="1">
              <a:extLst>
                <a:ext uri="{63B3BB69-23CF-44E3-9099-C40C66FF867C}">
                  <a14:compatExt spid="_x0000_s2068"/>
                </a:ext>
                <a:ext uri="{FF2B5EF4-FFF2-40B4-BE49-F238E27FC236}">
                  <a16:creationId xmlns:a16="http://schemas.microsoft.com/office/drawing/2014/main" id="{00000000-0008-0000-0300-000014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0</xdr:col>
      <xdr:colOff>366462</xdr:colOff>
      <xdr:row>11</xdr:row>
      <xdr:rowOff>29878</xdr:rowOff>
    </xdr:from>
    <xdr:ext cx="667182" cy="369971"/>
    <mc:AlternateContent xmlns:mc="http://schemas.openxmlformats.org/markup-compatibility/2006" xmlns:a14="http://schemas.microsoft.com/office/drawing/2010/main">
      <mc:Choice Requires="a14">
        <xdr:sp macro="" textlink="">
          <xdr:nvSpPr>
            <xdr:cNvPr id="2" name="文字方塊 1">
              <a:extLst>
                <a:ext uri="{FF2B5EF4-FFF2-40B4-BE49-F238E27FC236}">
                  <a16:creationId xmlns:a16="http://schemas.microsoft.com/office/drawing/2014/main" id="{00000000-0008-0000-0400-000002000000}"/>
                </a:ext>
              </a:extLst>
            </xdr:cNvPr>
            <xdr:cNvSpPr txBox="1"/>
          </xdr:nvSpPr>
          <xdr:spPr>
            <a:xfrm>
              <a:off x="366462" y="2586589"/>
              <a:ext cx="667182" cy="369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2" name="文字方塊 1">
              <a:extLst>
                <a:ext uri="{FF2B5EF4-FFF2-40B4-BE49-F238E27FC236}">
                  <a16:creationId xmlns:a16="http://schemas.microsoft.com/office/drawing/2014/main" id="{00000000-0008-0000-0100-000002000000}"/>
                </a:ext>
              </a:extLst>
            </xdr:cNvPr>
            <xdr:cNvSpPr txBox="1"/>
          </xdr:nvSpPr>
          <xdr:spPr>
            <a:xfrm>
              <a:off x="366462" y="2586589"/>
              <a:ext cx="667182" cy="369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5</xdr:col>
      <xdr:colOff>263893</xdr:colOff>
      <xdr:row>15</xdr:row>
      <xdr:rowOff>18447</xdr:rowOff>
    </xdr:from>
    <xdr:ext cx="1711292" cy="364395"/>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400-000003000000}"/>
                </a:ext>
              </a:extLst>
            </xdr:cNvPr>
            <xdr:cNvSpPr txBox="1"/>
          </xdr:nvSpPr>
          <xdr:spPr>
            <a:xfrm>
              <a:off x="4931143" y="3216842"/>
              <a:ext cx="171129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r>
                          <a:rPr lang="zh-TW" altLang="en-US"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00000000-0008-0000-0100-000003000000}"/>
                </a:ext>
              </a:extLst>
            </xdr:cNvPr>
            <xdr:cNvSpPr txBox="1"/>
          </xdr:nvSpPr>
          <xdr:spPr>
            <a:xfrm>
              <a:off x="4931143" y="3216842"/>
              <a:ext cx="171129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𝑇_𝑑𝑟𝑖𝑣𝑒</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 )</a:t>
              </a:r>
              <a:endParaRPr lang="zh-TW" altLang="en-US" sz="1100"/>
            </a:p>
          </xdr:txBody>
        </xdr:sp>
      </mc:Fallback>
    </mc:AlternateContent>
    <xdr:clientData/>
  </xdr:oneCellAnchor>
  <xdr:oneCellAnchor>
    <xdr:from>
      <xdr:col>0</xdr:col>
      <xdr:colOff>284646</xdr:colOff>
      <xdr:row>15</xdr:row>
      <xdr:rowOff>97657</xdr:rowOff>
    </xdr:from>
    <xdr:ext cx="1584123" cy="24063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400-000004000000}"/>
                </a:ext>
              </a:extLst>
            </xdr:cNvPr>
            <xdr:cNvSpPr txBox="1"/>
          </xdr:nvSpPr>
          <xdr:spPr>
            <a:xfrm>
              <a:off x="284646" y="329605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4" name="文字方塊 3">
              <a:extLst>
                <a:ext uri="{FF2B5EF4-FFF2-40B4-BE49-F238E27FC236}">
                  <a16:creationId xmlns:a16="http://schemas.microsoft.com/office/drawing/2014/main" id="{00000000-0008-0000-0100-000004000000}"/>
                </a:ext>
              </a:extLst>
            </xdr:cNvPr>
            <xdr:cNvSpPr txBox="1"/>
          </xdr:nvSpPr>
          <xdr:spPr>
            <a:xfrm>
              <a:off x="284646" y="329605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0</xdr:col>
      <xdr:colOff>345809</xdr:colOff>
      <xdr:row>5</xdr:row>
      <xdr:rowOff>61361</xdr:rowOff>
    </xdr:from>
    <xdr:ext cx="1259305" cy="345544"/>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400-000005000000}"/>
                </a:ext>
              </a:extLst>
            </xdr:cNvPr>
            <xdr:cNvSpPr txBox="1"/>
          </xdr:nvSpPr>
          <xdr:spPr>
            <a:xfrm>
              <a:off x="345809" y="1204361"/>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den>
                    </m:f>
                  </m:oMath>
                </m:oMathPara>
              </a14:m>
              <a:endParaRPr lang="zh-TW" altLang="en-US" sz="1100"/>
            </a:p>
          </xdr:txBody>
        </xdr:sp>
      </mc:Choice>
      <mc:Fallback xmlns="">
        <xdr:sp macro="" textlink="">
          <xdr:nvSpPr>
            <xdr:cNvPr id="5" name="文字方塊 4">
              <a:extLst>
                <a:ext uri="{FF2B5EF4-FFF2-40B4-BE49-F238E27FC236}">
                  <a16:creationId xmlns:a16="http://schemas.microsoft.com/office/drawing/2014/main" id="{00000000-0008-0000-0100-000005000000}"/>
                </a:ext>
              </a:extLst>
            </xdr:cNvPr>
            <xdr:cNvSpPr txBox="1"/>
          </xdr:nvSpPr>
          <xdr:spPr>
            <a:xfrm>
              <a:off x="345809" y="1204361"/>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en-US" altLang="zh-TW" sz="1100" b="0" i="0">
                  <a:solidFill>
                    <a:schemeClr val="tx1"/>
                  </a:solidFill>
                  <a:effectLst/>
                  <a:latin typeface="Cambria Math" panose="02040503050406030204" pitchFamily="18" charset="0"/>
                  <a:ea typeface="+mn-ea"/>
                  <a:cs typeface="+mn-cs"/>
                </a:rPr>
                <a:t>)</a:t>
              </a:r>
              <a:endParaRPr lang="zh-TW" altLang="en-US" sz="1100"/>
            </a:p>
          </xdr:txBody>
        </xdr:sp>
      </mc:Fallback>
    </mc:AlternateContent>
    <xdr:clientData/>
  </xdr:oneCellAnchor>
  <xdr:oneCellAnchor>
    <xdr:from>
      <xdr:col>1</xdr:col>
      <xdr:colOff>494498</xdr:colOff>
      <xdr:row>15</xdr:row>
      <xdr:rowOff>16543</xdr:rowOff>
    </xdr:from>
    <xdr:ext cx="2086982" cy="364395"/>
    <mc:AlternateContent xmlns:mc="http://schemas.openxmlformats.org/markup-compatibility/2006" xmlns:a14="http://schemas.microsoft.com/office/drawing/2010/main">
      <mc:Choice Requires="a14">
        <xdr:sp macro="" textlink="">
          <xdr:nvSpPr>
            <xdr:cNvPr id="8" name="文字方塊 7">
              <a:extLst>
                <a:ext uri="{FF2B5EF4-FFF2-40B4-BE49-F238E27FC236}">
                  <a16:creationId xmlns:a16="http://schemas.microsoft.com/office/drawing/2014/main" id="{00000000-0008-0000-0400-000008000000}"/>
                </a:ext>
              </a:extLst>
            </xdr:cNvPr>
            <xdr:cNvSpPr txBox="1"/>
          </xdr:nvSpPr>
          <xdr:spPr>
            <a:xfrm>
              <a:off x="2363403" y="3249027"/>
              <a:ext cx="208698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num>
                      <m:den>
                        <m:r>
                          <a:rPr lang="en-US" altLang="zh-TW" sz="1100" b="0" i="1">
                            <a:latin typeface="Cambria Math" panose="02040503050406030204" pitchFamily="18" charset="0"/>
                          </a:rPr>
                          <m:t>𝑖</m:t>
                        </m:r>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en-US" altLang="zh-TW" sz="1100" b="0" i="1">
                                <a:latin typeface="Cambria Math" panose="02040503050406030204" pitchFamily="18" charset="0"/>
                                <a:ea typeface="Cambria Math" panose="02040503050406030204" pitchFamily="18" charset="0"/>
                              </a:rPr>
                              <m:t>𝑁</m:t>
                            </m:r>
                          </m:e>
                          <m:sub>
                            <m:r>
                              <a:rPr lang="en-US" altLang="zh-TW" sz="1100" b="0" i="1">
                                <a:latin typeface="Cambria Math" panose="02040503050406030204" pitchFamily="18" charset="0"/>
                                <a:ea typeface="Cambria Math" panose="02040503050406030204" pitchFamily="18" charset="0"/>
                              </a:rPr>
                              <m:t>1</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oMath>
                </m:oMathPara>
              </a14:m>
              <a:endParaRPr lang="zh-TW" altLang="en-US" sz="1100"/>
            </a:p>
          </xdr:txBody>
        </xdr:sp>
      </mc:Choice>
      <mc:Fallback xmlns="">
        <xdr:sp macro="" textlink="">
          <xdr:nvSpPr>
            <xdr:cNvPr id="8" name="文字方塊 7">
              <a:extLst>
                <a:ext uri="{FF2B5EF4-FFF2-40B4-BE49-F238E27FC236}">
                  <a16:creationId xmlns:a16="http://schemas.microsoft.com/office/drawing/2014/main" id="{00000000-0008-0000-0400-000008000000}"/>
                </a:ext>
              </a:extLst>
            </xdr:cNvPr>
            <xdr:cNvSpPr txBox="1"/>
          </xdr:nvSpPr>
          <xdr:spPr>
            <a:xfrm>
              <a:off x="2363403" y="3249027"/>
              <a:ext cx="208698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100" b="0" i="0">
                  <a:latin typeface="Cambria Math" panose="02040503050406030204" pitchFamily="18" charset="0"/>
                </a:rPr>
                <a:t>𝑇_𝑑𝑟𝑖𝑣𝑒=𝑇_𝑎𝑥𝑖𝑎𝑙/(𝑖</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r>
                <a:rPr lang="en-US" altLang="zh-TW" sz="1100" b="0" i="0">
                  <a:latin typeface="Cambria Math" panose="02040503050406030204" pitchFamily="18" charset="0"/>
                </a:rPr>
                <a:t>=(𝑇_𝑎𝑥𝑖𝑎𝑙</a:t>
              </a:r>
              <a:r>
                <a:rPr lang="en-US" altLang="zh-TW" sz="1100" b="0" i="0">
                  <a:latin typeface="Cambria Math" panose="02040503050406030204" pitchFamily="18" charset="0"/>
                  <a:ea typeface="Cambria Math" panose="02040503050406030204" pitchFamily="18" charset="0"/>
                </a:rPr>
                <a:t>∗𝑁_1)/(</a:t>
              </a:r>
              <a:r>
                <a:rPr lang="en-US" altLang="zh-TW" sz="1100" b="0" i="0">
                  <a:latin typeface="Cambria Math" panose="02040503050406030204" pitchFamily="18" charset="0"/>
                </a:rPr>
                <a:t>𝑁_2</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endParaRPr lang="zh-TW" alt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0</xdr:col>
      <xdr:colOff>324394</xdr:colOff>
      <xdr:row>14</xdr:row>
      <xdr:rowOff>165463</xdr:rowOff>
    </xdr:from>
    <xdr:ext cx="65" cy="172227"/>
    <xdr:sp macro="" textlink="">
      <xdr:nvSpPr>
        <xdr:cNvPr id="2" name="文字方塊 1">
          <a:extLst>
            <a:ext uri="{FF2B5EF4-FFF2-40B4-BE49-F238E27FC236}">
              <a16:creationId xmlns:a16="http://schemas.microsoft.com/office/drawing/2014/main" id="{00000000-0008-0000-0500-000002000000}"/>
            </a:ext>
          </a:extLst>
        </xdr:cNvPr>
        <xdr:cNvSpPr txBox="1"/>
      </xdr:nvSpPr>
      <xdr:spPr>
        <a:xfrm>
          <a:off x="320584" y="226477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TW" altLang="en-US"/>
        </a:p>
      </xdr:txBody>
    </xdr:sp>
    <xdr:clientData/>
  </xdr:oneCellAnchor>
  <xdr:oneCellAnchor>
    <xdr:from>
      <xdr:col>0</xdr:col>
      <xdr:colOff>1012371</xdr:colOff>
      <xdr:row>4</xdr:row>
      <xdr:rowOff>15784</xdr:rowOff>
    </xdr:from>
    <xdr:ext cx="651172" cy="396240"/>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500-000003000000}"/>
                </a:ext>
              </a:extLst>
            </xdr:cNvPr>
            <xdr:cNvSpPr txBox="1"/>
          </xdr:nvSpPr>
          <xdr:spPr>
            <a:xfrm>
              <a:off x="1012371" y="946513"/>
              <a:ext cx="651172"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00000000-0008-0000-0200-000003000000}"/>
                </a:ext>
              </a:extLst>
            </xdr:cNvPr>
            <xdr:cNvSpPr txBox="1"/>
          </xdr:nvSpPr>
          <xdr:spPr>
            <a:xfrm>
              <a:off x="1012371" y="946513"/>
              <a:ext cx="651172"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0</xdr:col>
      <xdr:colOff>849901</xdr:colOff>
      <xdr:row>8</xdr:row>
      <xdr:rowOff>88991</xdr:rowOff>
    </xdr:from>
    <xdr:ext cx="1584123" cy="24063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500-000004000000}"/>
                </a:ext>
              </a:extLst>
            </xdr:cNvPr>
            <xdr:cNvSpPr txBox="1"/>
          </xdr:nvSpPr>
          <xdr:spPr>
            <a:xfrm>
              <a:off x="849901" y="1879691"/>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4" name="文字方塊 3">
              <a:extLst>
                <a:ext uri="{FF2B5EF4-FFF2-40B4-BE49-F238E27FC236}">
                  <a16:creationId xmlns:a16="http://schemas.microsoft.com/office/drawing/2014/main" id="{00000000-0008-0000-0200-000004000000}"/>
                </a:ext>
              </a:extLst>
            </xdr:cNvPr>
            <xdr:cNvSpPr txBox="1"/>
          </xdr:nvSpPr>
          <xdr:spPr>
            <a:xfrm>
              <a:off x="849901" y="1879691"/>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0</xdr:col>
      <xdr:colOff>623752</xdr:colOff>
      <xdr:row>14</xdr:row>
      <xdr:rowOff>12519</xdr:rowOff>
    </xdr:from>
    <xdr:ext cx="1415686" cy="346633"/>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500-000005000000}"/>
                </a:ext>
              </a:extLst>
            </xdr:cNvPr>
            <xdr:cNvSpPr txBox="1"/>
          </xdr:nvSpPr>
          <xdr:spPr>
            <a:xfrm>
              <a:off x="623752" y="3065962"/>
              <a:ext cx="1415686" cy="346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m:t>
                            </m:r>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5" name="文字方塊 4">
              <a:extLst>
                <a:ext uri="{FF2B5EF4-FFF2-40B4-BE49-F238E27FC236}">
                  <a16:creationId xmlns:a16="http://schemas.microsoft.com/office/drawing/2014/main" id="{00000000-0008-0000-0200-000005000000}"/>
                </a:ext>
              </a:extLst>
            </xdr:cNvPr>
            <xdr:cNvSpPr txBox="1"/>
          </xdr:nvSpPr>
          <xdr:spPr>
            <a:xfrm>
              <a:off x="623752" y="3065962"/>
              <a:ext cx="1415686" cy="346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𝑃_ℎ </a:t>
              </a:r>
              <a:endParaRPr lang="zh-TW" altLang="en-US" sz="1100"/>
            </a:p>
          </xdr:txBody>
        </xdr:sp>
      </mc:Fallback>
    </mc:AlternateContent>
    <xdr:clientData/>
  </xdr:oneCellAnchor>
  <xdr:oneCellAnchor>
    <xdr:from>
      <xdr:col>1</xdr:col>
      <xdr:colOff>582658</xdr:colOff>
      <xdr:row>14</xdr:row>
      <xdr:rowOff>13061</xdr:rowOff>
    </xdr:from>
    <xdr:ext cx="2111556" cy="353302"/>
    <mc:AlternateContent xmlns:mc="http://schemas.openxmlformats.org/markup-compatibility/2006" xmlns:a14="http://schemas.microsoft.com/office/drawing/2010/main">
      <mc:Choice Requires="a14">
        <xdr:sp macro="" textlink="">
          <xdr:nvSpPr>
            <xdr:cNvPr id="6" name="文字方塊 5">
              <a:extLst>
                <a:ext uri="{FF2B5EF4-FFF2-40B4-BE49-F238E27FC236}">
                  <a16:creationId xmlns:a16="http://schemas.microsoft.com/office/drawing/2014/main" id="{00000000-0008-0000-0500-000006000000}"/>
                </a:ext>
              </a:extLst>
            </xdr:cNvPr>
            <xdr:cNvSpPr txBox="1"/>
          </xdr:nvSpPr>
          <xdr:spPr>
            <a:xfrm>
              <a:off x="2509429" y="3066504"/>
              <a:ext cx="211155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6" name="文字方塊 5">
              <a:extLst>
                <a:ext uri="{FF2B5EF4-FFF2-40B4-BE49-F238E27FC236}">
                  <a16:creationId xmlns:a16="http://schemas.microsoft.com/office/drawing/2014/main" id="{00000000-0008-0000-0200-000006000000}"/>
                </a:ext>
              </a:extLst>
            </xdr:cNvPr>
            <xdr:cNvSpPr txBox="1"/>
          </xdr:nvSpPr>
          <xdr:spPr>
            <a:xfrm>
              <a:off x="2509429" y="3066504"/>
              <a:ext cx="211155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𝑇_𝑑𝑟𝑖𝑣𝑒∗</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r>
                <a:rPr lang="en-US" altLang="zh-TW" sz="1100" b="0" i="0">
                  <a:latin typeface="Cambria Math" panose="02040503050406030204" pitchFamily="18" charset="0"/>
                </a:rPr>
                <a:t>𝑃_ℎ </a:t>
              </a:r>
              <a:endParaRPr lang="zh-TW" alt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588845</xdr:colOff>
      <xdr:row>11</xdr:row>
      <xdr:rowOff>25166</xdr:rowOff>
    </xdr:from>
    <xdr:ext cx="1543553" cy="390424"/>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600-000003000000}"/>
                </a:ext>
              </a:extLst>
            </xdr:cNvPr>
            <xdr:cNvSpPr txBox="1"/>
          </xdr:nvSpPr>
          <xdr:spPr>
            <a:xfrm>
              <a:off x="2889884" y="2611955"/>
              <a:ext cx="1543553" cy="390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𝑘𝑊</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𝑑𝑟𝑖𝑣𝑒</m:t>
                            </m:r>
                          </m:sub>
                        </m:sSub>
                        <m:r>
                          <a:rPr lang="en-US" altLang="zh-TW" sz="1100" b="0" i="1">
                            <a:latin typeface="Cambria Math" panose="02040503050406030204" pitchFamily="18" charset="0"/>
                          </a:rPr>
                          <m:t>∗2</m:t>
                        </m:r>
                        <m:r>
                          <a:rPr lang="zh-TW" altLang="en-US" sz="1100" b="0" i="1">
                            <a:latin typeface="Cambria Math" panose="02040503050406030204" pitchFamily="18" charset="0"/>
                          </a:rPr>
                          <m:t>𝜋</m:t>
                        </m:r>
                        <m:r>
                          <a:rPr lang="en-US" altLang="zh-TW" sz="1100" b="0" i="1">
                            <a:latin typeface="Cambria Math" panose="02040503050406030204" pitchFamily="18" charset="0"/>
                          </a:rPr>
                          <m:t>∗</m:t>
                        </m:r>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𝑅</m:t>
                            </m:r>
                          </m:e>
                          <m:sub>
                            <m:r>
                              <a:rPr lang="en-US" altLang="zh-TW" sz="1100" b="0" i="1">
                                <a:latin typeface="Cambria Math" panose="02040503050406030204" pitchFamily="18" charset="0"/>
                              </a:rPr>
                              <m:t>𝑟𝑝𝑚</m:t>
                            </m:r>
                          </m:sub>
                        </m:sSub>
                      </m:num>
                      <m:den>
                        <m:r>
                          <a:rPr lang="en-US" altLang="zh-TW" sz="1100" b="0" i="1">
                            <a:latin typeface="Cambria Math" panose="02040503050406030204" pitchFamily="18" charset="0"/>
                          </a:rPr>
                          <m:t>60∗1000</m:t>
                        </m:r>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67E129A2-22CF-41D8-A336-E95A78B3324C}"/>
                </a:ext>
              </a:extLst>
            </xdr:cNvPr>
            <xdr:cNvSpPr txBox="1"/>
          </xdr:nvSpPr>
          <xdr:spPr>
            <a:xfrm>
              <a:off x="2889884" y="2611955"/>
              <a:ext cx="1543553" cy="390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𝑃_𝑘𝑊=(𝑇_𝑑𝑟𝑖𝑣𝑒∗2</a:t>
              </a:r>
              <a:r>
                <a:rPr lang="zh-TW" altLang="en-US" sz="1100" b="0" i="0">
                  <a:latin typeface="Cambria Math" panose="02040503050406030204" pitchFamily="18" charset="0"/>
                </a:rPr>
                <a:t>𝜋</a:t>
              </a:r>
              <a:r>
                <a:rPr lang="en-US" altLang="zh-TW" sz="1100" b="0" i="0">
                  <a:latin typeface="Cambria Math" panose="02040503050406030204" pitchFamily="18" charset="0"/>
                </a:rPr>
                <a:t>∗𝑅_𝑟𝑝𝑚)/(60∗1000)</a:t>
              </a:r>
              <a:endParaRPr lang="zh-TW" altLang="en-US" sz="1100"/>
            </a:p>
          </xdr:txBody>
        </xdr:sp>
      </mc:Fallback>
    </mc:AlternateContent>
    <xdr:clientData/>
  </xdr:oneCellAnchor>
  <xdr:oneCellAnchor>
    <xdr:from>
      <xdr:col>2</xdr:col>
      <xdr:colOff>590349</xdr:colOff>
      <xdr:row>1</xdr:row>
      <xdr:rowOff>53841</xdr:rowOff>
    </xdr:from>
    <xdr:ext cx="421782" cy="34458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600-000004000000}"/>
                </a:ext>
              </a:extLst>
            </xdr:cNvPr>
            <xdr:cNvSpPr txBox="1"/>
          </xdr:nvSpPr>
          <xdr:spPr>
            <a:xfrm>
              <a:off x="2891388" y="294473"/>
              <a:ext cx="421782"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4" name="文字方塊 3">
              <a:extLst>
                <a:ext uri="{FF2B5EF4-FFF2-40B4-BE49-F238E27FC236}">
                  <a16:creationId xmlns:a16="http://schemas.microsoft.com/office/drawing/2014/main" id="{00000000-0008-0000-0300-000004000000}"/>
                </a:ext>
              </a:extLst>
            </xdr:cNvPr>
            <xdr:cNvSpPr txBox="1"/>
          </xdr:nvSpPr>
          <xdr:spPr>
            <a:xfrm>
              <a:off x="2891388" y="294473"/>
              <a:ext cx="421782"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2</xdr:col>
      <xdr:colOff>609301</xdr:colOff>
      <xdr:row>0</xdr:row>
      <xdr:rowOff>35092</xdr:rowOff>
    </xdr:from>
    <xdr:ext cx="1584123" cy="240632"/>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600-000005000000}"/>
                </a:ext>
              </a:extLst>
            </xdr:cNvPr>
            <xdr:cNvSpPr txBox="1"/>
          </xdr:nvSpPr>
          <xdr:spPr>
            <a:xfrm>
              <a:off x="2910340" y="3509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5" name="文字方塊 4">
              <a:extLst>
                <a:ext uri="{FF2B5EF4-FFF2-40B4-BE49-F238E27FC236}">
                  <a16:creationId xmlns:a16="http://schemas.microsoft.com/office/drawing/2014/main" id="{A5AF175E-A610-47B7-BC17-FC73EB38A0F0}"/>
                </a:ext>
              </a:extLst>
            </xdr:cNvPr>
            <xdr:cNvSpPr txBox="1"/>
          </xdr:nvSpPr>
          <xdr:spPr>
            <a:xfrm>
              <a:off x="2910340" y="3509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2</xdr:col>
      <xdr:colOff>500914</xdr:colOff>
      <xdr:row>9</xdr:row>
      <xdr:rowOff>25466</xdr:rowOff>
    </xdr:from>
    <xdr:ext cx="2302996" cy="353302"/>
    <mc:AlternateContent xmlns:mc="http://schemas.openxmlformats.org/markup-compatibility/2006" xmlns:a14="http://schemas.microsoft.com/office/drawing/2010/main">
      <mc:Choice Requires="a14">
        <xdr:sp macro="" textlink="">
          <xdr:nvSpPr>
            <xdr:cNvPr id="6" name="文字方塊 5">
              <a:extLst>
                <a:ext uri="{FF2B5EF4-FFF2-40B4-BE49-F238E27FC236}">
                  <a16:creationId xmlns:a16="http://schemas.microsoft.com/office/drawing/2014/main" id="{00000000-0008-0000-0600-000006000000}"/>
                </a:ext>
              </a:extLst>
            </xdr:cNvPr>
            <xdr:cNvSpPr txBox="1"/>
          </xdr:nvSpPr>
          <xdr:spPr>
            <a:xfrm>
              <a:off x="2801953" y="2161071"/>
              <a:ext cx="230299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6" name="文字方塊 5">
              <a:extLst>
                <a:ext uri="{FF2B5EF4-FFF2-40B4-BE49-F238E27FC236}">
                  <a16:creationId xmlns:a16="http://schemas.microsoft.com/office/drawing/2014/main" id="{4848BA94-D7A7-4465-A10D-B41055CAA808}"/>
                </a:ext>
              </a:extLst>
            </xdr:cNvPr>
            <xdr:cNvSpPr txBox="1"/>
          </xdr:nvSpPr>
          <xdr:spPr>
            <a:xfrm>
              <a:off x="2801953" y="2161071"/>
              <a:ext cx="230299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𝑇_𝑑𝑟𝑖𝑣𝑒∗</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r>
                <a:rPr lang="en-US" altLang="zh-TW" sz="1100" b="0" i="0">
                  <a:latin typeface="Cambria Math" panose="02040503050406030204" pitchFamily="18" charset="0"/>
                </a:rPr>
                <a:t>𝑃_ℎ </a:t>
              </a:r>
              <a:endParaRPr lang="zh-TW" altLang="en-US" sz="1100"/>
            </a:p>
          </xdr:txBody>
        </xdr:sp>
      </mc:Fallback>
    </mc:AlternateContent>
    <xdr:clientData/>
  </xdr:oneCellAnchor>
  <xdr:oneCellAnchor>
    <xdr:from>
      <xdr:col>2</xdr:col>
      <xdr:colOff>602181</xdr:colOff>
      <xdr:row>7</xdr:row>
      <xdr:rowOff>64871</xdr:rowOff>
    </xdr:from>
    <xdr:ext cx="1636295" cy="364395"/>
    <mc:AlternateContent xmlns:mc="http://schemas.openxmlformats.org/markup-compatibility/2006" xmlns:a14="http://schemas.microsoft.com/office/drawing/2010/main">
      <mc:Choice Requires="a14">
        <xdr:sp macro="" textlink="">
          <xdr:nvSpPr>
            <xdr:cNvPr id="7" name="文字方塊 6">
              <a:extLst>
                <a:ext uri="{FF2B5EF4-FFF2-40B4-BE49-F238E27FC236}">
                  <a16:creationId xmlns:a16="http://schemas.microsoft.com/office/drawing/2014/main" id="{00000000-0008-0000-0600-000007000000}"/>
                </a:ext>
              </a:extLst>
            </xdr:cNvPr>
            <xdr:cNvSpPr txBox="1"/>
          </xdr:nvSpPr>
          <xdr:spPr>
            <a:xfrm>
              <a:off x="2903220" y="1749292"/>
              <a:ext cx="163629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r>
                          <a:rPr lang="zh-TW" altLang="en-US"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den>
                    </m:f>
                  </m:oMath>
                </m:oMathPara>
              </a14:m>
              <a:endParaRPr lang="zh-TW" altLang="en-US" sz="1100"/>
            </a:p>
          </xdr:txBody>
        </xdr:sp>
      </mc:Choice>
      <mc:Fallback xmlns="">
        <xdr:sp macro="" textlink="">
          <xdr:nvSpPr>
            <xdr:cNvPr id="7" name="文字方塊 6">
              <a:extLst>
                <a:ext uri="{FF2B5EF4-FFF2-40B4-BE49-F238E27FC236}">
                  <a16:creationId xmlns:a16="http://schemas.microsoft.com/office/drawing/2014/main" id="{0D21FCCA-B366-4A12-B3F1-12C4FE41A531}"/>
                </a:ext>
              </a:extLst>
            </xdr:cNvPr>
            <xdr:cNvSpPr txBox="1"/>
          </xdr:nvSpPr>
          <xdr:spPr>
            <a:xfrm>
              <a:off x="2903220" y="1749292"/>
              <a:ext cx="163629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𝑇_𝑑𝑟𝑖𝑣𝑒</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 )</a:t>
              </a:r>
              <a:endParaRPr lang="zh-TW" altLang="en-US" sz="1100"/>
            </a:p>
          </xdr:txBody>
        </xdr:sp>
      </mc:Fallback>
    </mc:AlternateContent>
    <xdr:clientData/>
  </xdr:oneCellAnchor>
  <xdr:oneCellAnchor>
    <xdr:from>
      <xdr:col>2</xdr:col>
      <xdr:colOff>544932</xdr:colOff>
      <xdr:row>5</xdr:row>
      <xdr:rowOff>58654</xdr:rowOff>
    </xdr:from>
    <xdr:ext cx="1259305" cy="345544"/>
    <mc:AlternateContent xmlns:mc="http://schemas.openxmlformats.org/markup-compatibility/2006" xmlns:a14="http://schemas.microsoft.com/office/drawing/2010/main">
      <mc:Choice Requires="a14">
        <xdr:sp macro="" textlink="">
          <xdr:nvSpPr>
            <xdr:cNvPr id="8" name="文字方塊 7">
              <a:extLst>
                <a:ext uri="{FF2B5EF4-FFF2-40B4-BE49-F238E27FC236}">
                  <a16:creationId xmlns:a16="http://schemas.microsoft.com/office/drawing/2014/main" id="{00000000-0008-0000-0600-000008000000}"/>
                </a:ext>
              </a:extLst>
            </xdr:cNvPr>
            <xdr:cNvSpPr txBox="1"/>
          </xdr:nvSpPr>
          <xdr:spPr>
            <a:xfrm>
              <a:off x="2845971" y="1261812"/>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den>
                    </m:f>
                  </m:oMath>
                </m:oMathPara>
              </a14:m>
              <a:endParaRPr lang="zh-TW" altLang="en-US" sz="1100"/>
            </a:p>
          </xdr:txBody>
        </xdr:sp>
      </mc:Choice>
      <mc:Fallback xmlns="">
        <xdr:sp macro="" textlink="">
          <xdr:nvSpPr>
            <xdr:cNvPr id="8" name="文字方塊 7">
              <a:extLst>
                <a:ext uri="{FF2B5EF4-FFF2-40B4-BE49-F238E27FC236}">
                  <a16:creationId xmlns:a16="http://schemas.microsoft.com/office/drawing/2014/main" id="{6C4F3654-A29D-45F8-801E-6C46B75F5653}"/>
                </a:ext>
              </a:extLst>
            </xdr:cNvPr>
            <xdr:cNvSpPr txBox="1"/>
          </xdr:nvSpPr>
          <xdr:spPr>
            <a:xfrm>
              <a:off x="2845971" y="1261812"/>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en-US" altLang="zh-TW" sz="1100" b="0" i="0">
                  <a:solidFill>
                    <a:schemeClr val="tx1"/>
                  </a:solidFill>
                  <a:effectLst/>
                  <a:latin typeface="Cambria Math" panose="02040503050406030204" pitchFamily="18" charset="0"/>
                  <a:ea typeface="+mn-ea"/>
                  <a:cs typeface="+mn-cs"/>
                </a:rPr>
                <a:t>)</a:t>
              </a:r>
              <a:endParaRPr lang="zh-TW" altLang="en-US" sz="1100"/>
            </a:p>
          </xdr:txBody>
        </xdr:sp>
      </mc:Fallback>
    </mc:AlternateContent>
    <xdr:clientData/>
  </xdr:oneCellAnchor>
  <xdr:oneCellAnchor>
    <xdr:from>
      <xdr:col>2</xdr:col>
      <xdr:colOff>606592</xdr:colOff>
      <xdr:row>3</xdr:row>
      <xdr:rowOff>60158</xdr:rowOff>
    </xdr:from>
    <xdr:ext cx="2086982" cy="364395"/>
    <mc:AlternateContent xmlns:mc="http://schemas.openxmlformats.org/markup-compatibility/2006" xmlns:a14="http://schemas.microsoft.com/office/drawing/2010/main">
      <mc:Choice Requires="a14">
        <xdr:sp macro="" textlink="">
          <xdr:nvSpPr>
            <xdr:cNvPr id="9" name="文字方塊 8">
              <a:extLst>
                <a:ext uri="{FF2B5EF4-FFF2-40B4-BE49-F238E27FC236}">
                  <a16:creationId xmlns:a16="http://schemas.microsoft.com/office/drawing/2014/main" id="{00000000-0008-0000-0600-000009000000}"/>
                </a:ext>
              </a:extLst>
            </xdr:cNvPr>
            <xdr:cNvSpPr txBox="1"/>
          </xdr:nvSpPr>
          <xdr:spPr>
            <a:xfrm>
              <a:off x="2916655" y="770021"/>
              <a:ext cx="208698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num>
                      <m:den>
                        <m:r>
                          <a:rPr lang="en-US" altLang="zh-TW" sz="1100" b="0" i="1">
                            <a:latin typeface="Cambria Math" panose="02040503050406030204" pitchFamily="18" charset="0"/>
                          </a:rPr>
                          <m:t>𝑖</m:t>
                        </m:r>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en-US" altLang="zh-TW" sz="1100" b="0" i="1">
                                <a:latin typeface="Cambria Math" panose="02040503050406030204" pitchFamily="18" charset="0"/>
                                <a:ea typeface="Cambria Math" panose="02040503050406030204" pitchFamily="18" charset="0"/>
                              </a:rPr>
                              <m:t>𝑁</m:t>
                            </m:r>
                          </m:e>
                          <m:sub>
                            <m:r>
                              <a:rPr lang="en-US" altLang="zh-TW" sz="1100" b="0" i="1">
                                <a:latin typeface="Cambria Math" panose="02040503050406030204" pitchFamily="18" charset="0"/>
                                <a:ea typeface="Cambria Math" panose="02040503050406030204" pitchFamily="18" charset="0"/>
                              </a:rPr>
                              <m:t>1</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oMath>
                </m:oMathPara>
              </a14:m>
              <a:endParaRPr lang="zh-TW" altLang="en-US" sz="1100"/>
            </a:p>
          </xdr:txBody>
        </xdr:sp>
      </mc:Choice>
      <mc:Fallback xmlns="">
        <xdr:sp macro="" textlink="">
          <xdr:nvSpPr>
            <xdr:cNvPr id="9" name="文字方塊 8">
              <a:extLst>
                <a:ext uri="{FF2B5EF4-FFF2-40B4-BE49-F238E27FC236}">
                  <a16:creationId xmlns:a16="http://schemas.microsoft.com/office/drawing/2014/main" id="{00000000-0008-0000-0600-000009000000}"/>
                </a:ext>
              </a:extLst>
            </xdr:cNvPr>
            <xdr:cNvSpPr txBox="1"/>
          </xdr:nvSpPr>
          <xdr:spPr>
            <a:xfrm>
              <a:off x="2916655" y="770021"/>
              <a:ext cx="208698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100" b="0" i="0">
                  <a:latin typeface="Cambria Math" panose="02040503050406030204" pitchFamily="18" charset="0"/>
                </a:rPr>
                <a:t>𝑇_𝑑𝑟𝑖𝑣𝑒=𝑇_𝑎𝑥𝑖𝑎𝑙/(𝑖</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r>
                <a:rPr lang="en-US" altLang="zh-TW" sz="1100" b="0" i="0">
                  <a:latin typeface="Cambria Math" panose="02040503050406030204" pitchFamily="18" charset="0"/>
                </a:rPr>
                <a:t>=(𝑇_𝑎𝑥𝑖𝑎𝑙</a:t>
              </a:r>
              <a:r>
                <a:rPr lang="en-US" altLang="zh-TW" sz="1100" b="0" i="0">
                  <a:latin typeface="Cambria Math" panose="02040503050406030204" pitchFamily="18" charset="0"/>
                  <a:ea typeface="Cambria Math" panose="02040503050406030204" pitchFamily="18" charset="0"/>
                </a:rPr>
                <a:t>∗𝑁_1)/(</a:t>
              </a:r>
              <a:r>
                <a:rPr lang="en-US" altLang="zh-TW" sz="1100" b="0" i="0">
                  <a:latin typeface="Cambria Math" panose="02040503050406030204" pitchFamily="18" charset="0"/>
                </a:rPr>
                <a:t>𝑁_2</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endParaRPr lang="zh-TW" altLang="en-US" sz="1100"/>
            </a:p>
          </xdr:txBody>
        </xdr:sp>
      </mc:Fallback>
    </mc:AlternateContent>
    <xdr:clientData/>
  </xdr:one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2.wmf"/><Relationship Id="rId18" Type="http://schemas.openxmlformats.org/officeDocument/2006/relationships/oleObject" Target="../embeddings/oleObject10.bin"/><Relationship Id="rId26" Type="http://schemas.openxmlformats.org/officeDocument/2006/relationships/oleObject" Target="../embeddings/oleObject14.bin"/><Relationship Id="rId3" Type="http://schemas.openxmlformats.org/officeDocument/2006/relationships/vmlDrawing" Target="../drawings/vmlDrawing2.vml"/><Relationship Id="rId21" Type="http://schemas.openxmlformats.org/officeDocument/2006/relationships/image" Target="../media/image9.wmf"/><Relationship Id="rId7" Type="http://schemas.openxmlformats.org/officeDocument/2006/relationships/image" Target="../media/image3.wmf"/><Relationship Id="rId12" Type="http://schemas.openxmlformats.org/officeDocument/2006/relationships/oleObject" Target="../embeddings/oleObject7.bin"/><Relationship Id="rId17" Type="http://schemas.openxmlformats.org/officeDocument/2006/relationships/image" Target="../media/image7.wmf"/><Relationship Id="rId25" Type="http://schemas.openxmlformats.org/officeDocument/2006/relationships/image" Target="../media/image11.emf"/><Relationship Id="rId2" Type="http://schemas.openxmlformats.org/officeDocument/2006/relationships/drawing" Target="../drawings/drawing4.xml"/><Relationship Id="rId16" Type="http://schemas.openxmlformats.org/officeDocument/2006/relationships/oleObject" Target="../embeddings/oleObject9.bin"/><Relationship Id="rId20" Type="http://schemas.openxmlformats.org/officeDocument/2006/relationships/oleObject" Target="../embeddings/oleObject11.bin"/><Relationship Id="rId29" Type="http://schemas.openxmlformats.org/officeDocument/2006/relationships/image" Target="../media/image13.wmf"/><Relationship Id="rId1" Type="http://schemas.openxmlformats.org/officeDocument/2006/relationships/printerSettings" Target="../printerSettings/printerSettings4.bin"/><Relationship Id="rId6" Type="http://schemas.openxmlformats.org/officeDocument/2006/relationships/oleObject" Target="../embeddings/oleObject4.bin"/><Relationship Id="rId11" Type="http://schemas.openxmlformats.org/officeDocument/2006/relationships/image" Target="../media/image5.wmf"/><Relationship Id="rId24" Type="http://schemas.openxmlformats.org/officeDocument/2006/relationships/oleObject" Target="../embeddings/oleObject13.bin"/><Relationship Id="rId5" Type="http://schemas.openxmlformats.org/officeDocument/2006/relationships/image" Target="../media/image1.wmf"/><Relationship Id="rId15" Type="http://schemas.openxmlformats.org/officeDocument/2006/relationships/image" Target="../media/image6.wmf"/><Relationship Id="rId23" Type="http://schemas.openxmlformats.org/officeDocument/2006/relationships/image" Target="../media/image10.emf"/><Relationship Id="rId28" Type="http://schemas.openxmlformats.org/officeDocument/2006/relationships/oleObject" Target="../embeddings/oleObject15.bin"/><Relationship Id="rId10" Type="http://schemas.openxmlformats.org/officeDocument/2006/relationships/oleObject" Target="../embeddings/oleObject6.bin"/><Relationship Id="rId19" Type="http://schemas.openxmlformats.org/officeDocument/2006/relationships/image" Target="../media/image8.wmf"/><Relationship Id="rId4" Type="http://schemas.openxmlformats.org/officeDocument/2006/relationships/oleObject" Target="../embeddings/oleObject3.bin"/><Relationship Id="rId9" Type="http://schemas.openxmlformats.org/officeDocument/2006/relationships/image" Target="../media/image4.wmf"/><Relationship Id="rId14" Type="http://schemas.openxmlformats.org/officeDocument/2006/relationships/oleObject" Target="../embeddings/oleObject8.bin"/><Relationship Id="rId22" Type="http://schemas.openxmlformats.org/officeDocument/2006/relationships/oleObject" Target="../embeddings/oleObject12.bin"/><Relationship Id="rId27" Type="http://schemas.openxmlformats.org/officeDocument/2006/relationships/image" Target="../media/image12.emf"/></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B867F-12DA-45A2-AB0D-8D9874690456}">
  <sheetPr>
    <pageSetUpPr fitToPage="1"/>
  </sheetPr>
  <dimension ref="A1:AM201"/>
  <sheetViews>
    <sheetView tabSelected="1" topLeftCell="A154" zoomScale="139" zoomScaleNormal="139" workbookViewId="0">
      <selection activeCell="D157" sqref="D157"/>
    </sheetView>
  </sheetViews>
  <sheetFormatPr defaultColWidth="9" defaultRowHeight="15" x14ac:dyDescent="0.3"/>
  <cols>
    <col min="1" max="1" width="28.88671875" style="9" customWidth="1"/>
    <col min="2" max="2" width="25.5546875" style="9" bestFit="1" customWidth="1"/>
    <col min="3" max="3" width="16.33203125" style="9" bestFit="1" customWidth="1"/>
    <col min="4" max="4" width="27.6640625" style="9" bestFit="1" customWidth="1"/>
    <col min="5" max="5" width="16.6640625" style="9" bestFit="1" customWidth="1"/>
    <col min="6" max="7" width="16" style="9" bestFit="1" customWidth="1"/>
    <col min="8" max="8" width="11.6640625" style="9" bestFit="1" customWidth="1"/>
    <col min="9" max="9" width="9.88671875" style="9" bestFit="1" customWidth="1"/>
    <col min="10" max="10" width="9.88671875" style="9" customWidth="1"/>
    <col min="11" max="11" width="27.88671875" style="9" bestFit="1" customWidth="1"/>
    <col min="12" max="12" width="19.44140625" style="9" bestFit="1" customWidth="1"/>
    <col min="13" max="13" width="16.88671875" style="9" bestFit="1" customWidth="1"/>
    <col min="14" max="14" width="16.77734375" style="9" bestFit="1" customWidth="1"/>
    <col min="15" max="15" width="23.21875" style="9" bestFit="1" customWidth="1"/>
    <col min="16" max="16" width="24.77734375" style="9" bestFit="1" customWidth="1"/>
    <col min="17" max="17" width="17.77734375" style="9" bestFit="1" customWidth="1"/>
    <col min="18" max="18" width="12.88671875" style="9" bestFit="1" customWidth="1"/>
    <col min="19" max="19" width="9.6640625" style="9" bestFit="1" customWidth="1"/>
    <col min="20" max="20" width="23.5546875" style="9" bestFit="1" customWidth="1"/>
    <col min="21" max="21" width="18" style="9" bestFit="1" customWidth="1"/>
    <col min="22" max="22" width="15.5546875" style="9" bestFit="1" customWidth="1"/>
    <col min="23" max="24" width="10.5546875" style="9" bestFit="1" customWidth="1"/>
    <col min="25" max="25" width="13" style="9" bestFit="1" customWidth="1"/>
    <col min="26" max="26" width="15.5546875" style="9" bestFit="1" customWidth="1"/>
    <col min="27" max="28" width="10.5546875" style="9" bestFit="1" customWidth="1"/>
    <col min="29" max="29" width="9.88671875" style="9" bestFit="1" customWidth="1"/>
    <col min="30" max="31" width="10.5546875" style="9" bestFit="1" customWidth="1"/>
    <col min="32" max="32" width="12.33203125" style="9" bestFit="1" customWidth="1"/>
    <col min="33" max="34" width="9" style="9"/>
    <col min="35" max="35" width="21" style="9" bestFit="1" customWidth="1"/>
    <col min="36" max="36" width="6" style="9" bestFit="1" customWidth="1"/>
    <col min="37" max="37" width="10.5546875" style="9" bestFit="1" customWidth="1"/>
    <col min="38" max="38" width="15.109375" style="9" bestFit="1" customWidth="1"/>
    <col min="39" max="39" width="13.5546875" style="9" bestFit="1" customWidth="1"/>
    <col min="40" max="41" width="9" style="9"/>
    <col min="42" max="42" width="19.6640625" style="9" bestFit="1" customWidth="1"/>
    <col min="43" max="43" width="5.44140625" style="9" bestFit="1" customWidth="1"/>
    <col min="44" max="44" width="9.44140625" style="9" bestFit="1" customWidth="1"/>
    <col min="45" max="45" width="13.44140625" style="9" bestFit="1" customWidth="1"/>
    <col min="46" max="46" width="12.109375" style="9" bestFit="1" customWidth="1"/>
    <col min="47" max="16384" width="9" style="9"/>
  </cols>
  <sheetData>
    <row r="1" spans="1:39" ht="19.95" customHeight="1" x14ac:dyDescent="0.3">
      <c r="A1" s="4" t="s">
        <v>267</v>
      </c>
      <c r="B1" s="15">
        <v>1500</v>
      </c>
      <c r="C1" s="9" t="s">
        <v>18</v>
      </c>
      <c r="K1" s="4" t="s">
        <v>240</v>
      </c>
      <c r="L1" s="4" t="s">
        <v>266</v>
      </c>
      <c r="M1" s="4" t="s">
        <v>265</v>
      </c>
      <c r="N1" s="4" t="s">
        <v>264</v>
      </c>
      <c r="O1" s="4" t="s">
        <v>263</v>
      </c>
      <c r="P1" s="4" t="s">
        <v>262</v>
      </c>
      <c r="Q1" s="4" t="s">
        <v>261</v>
      </c>
      <c r="R1" s="4" t="s">
        <v>260</v>
      </c>
      <c r="T1" s="4" t="s">
        <v>184</v>
      </c>
      <c r="U1" s="4" t="s">
        <v>181</v>
      </c>
      <c r="V1" s="4" t="s">
        <v>178</v>
      </c>
      <c r="W1" s="4" t="s">
        <v>259</v>
      </c>
      <c r="X1" s="4" t="s">
        <v>173</v>
      </c>
      <c r="Y1" s="4" t="s">
        <v>258</v>
      </c>
      <c r="Z1" s="4" t="s">
        <v>169</v>
      </c>
      <c r="AA1" s="4" t="s">
        <v>166</v>
      </c>
      <c r="AB1" s="4" t="s">
        <v>164</v>
      </c>
      <c r="AC1" s="4" t="s">
        <v>161</v>
      </c>
      <c r="AD1" s="4" t="s">
        <v>24</v>
      </c>
      <c r="AE1" s="4" t="s">
        <v>23</v>
      </c>
      <c r="AI1" s="4" t="s">
        <v>257</v>
      </c>
      <c r="AJ1" s="4" t="s">
        <v>256</v>
      </c>
      <c r="AK1" s="4" t="s">
        <v>132</v>
      </c>
      <c r="AL1" s="4" t="s">
        <v>255</v>
      </c>
      <c r="AM1" s="4" t="s">
        <v>254</v>
      </c>
    </row>
    <row r="2" spans="1:39" ht="19.95" customHeight="1" x14ac:dyDescent="0.4">
      <c r="A2" s="66" t="s">
        <v>11</v>
      </c>
      <c r="B2" s="56">
        <v>730</v>
      </c>
      <c r="C2" s="9" t="s">
        <v>40</v>
      </c>
      <c r="D2" s="9">
        <v>6</v>
      </c>
      <c r="E2" s="9" t="s">
        <v>253</v>
      </c>
      <c r="F2" s="14">
        <f>D2*B2</f>
        <v>4380</v>
      </c>
      <c r="G2" s="9" t="str">
        <f>C2</f>
        <v>kgf</v>
      </c>
      <c r="I2" s="9">
        <v>102</v>
      </c>
      <c r="K2" s="78" t="s">
        <v>321</v>
      </c>
      <c r="L2" s="79">
        <v>16</v>
      </c>
      <c r="M2" s="79">
        <v>5</v>
      </c>
      <c r="N2" s="79">
        <v>3</v>
      </c>
      <c r="O2" s="79">
        <v>1020</v>
      </c>
      <c r="P2" s="79">
        <v>1551</v>
      </c>
      <c r="Q2" s="79"/>
      <c r="R2" s="79">
        <v>35</v>
      </c>
      <c r="S2" s="78" t="s">
        <v>286</v>
      </c>
      <c r="T2" s="78" t="s">
        <v>475</v>
      </c>
      <c r="U2" s="83"/>
      <c r="V2" s="79">
        <v>0.4</v>
      </c>
      <c r="W2" s="84">
        <v>1000</v>
      </c>
      <c r="X2" s="79">
        <v>3.82</v>
      </c>
      <c r="Y2" s="79">
        <v>2</v>
      </c>
      <c r="Z2" s="84">
        <v>1500</v>
      </c>
      <c r="AA2" s="79">
        <v>11.5</v>
      </c>
      <c r="AB2" s="83">
        <v>6</v>
      </c>
      <c r="AC2" s="79">
        <v>5.8</v>
      </c>
      <c r="AD2" s="84">
        <v>19</v>
      </c>
      <c r="AE2" s="79">
        <f>58-5.3</f>
        <v>52.7</v>
      </c>
      <c r="AF2" s="78" t="s">
        <v>476</v>
      </c>
      <c r="AI2" s="9" t="s">
        <v>251</v>
      </c>
      <c r="AJ2" s="9">
        <v>18</v>
      </c>
      <c r="AK2" s="9">
        <v>25</v>
      </c>
      <c r="AL2" s="16">
        <v>45.84</v>
      </c>
      <c r="AM2" s="9">
        <v>33</v>
      </c>
    </row>
    <row r="3" spans="1:39" ht="19.95" customHeight="1" x14ac:dyDescent="0.3">
      <c r="A3" s="4" t="s">
        <v>250</v>
      </c>
      <c r="B3" s="15">
        <v>200</v>
      </c>
      <c r="C3" s="9" t="s">
        <v>19</v>
      </c>
      <c r="K3" s="78" t="s">
        <v>322</v>
      </c>
      <c r="L3" s="79">
        <v>30</v>
      </c>
      <c r="M3" s="79">
        <v>5</v>
      </c>
      <c r="N3" s="79"/>
      <c r="O3" s="79">
        <v>9386</v>
      </c>
      <c r="P3" s="79">
        <v>18196</v>
      </c>
      <c r="Q3" s="79"/>
      <c r="R3" s="79">
        <v>85</v>
      </c>
      <c r="S3" s="78" t="s">
        <v>286</v>
      </c>
      <c r="T3" s="78" t="s">
        <v>477</v>
      </c>
      <c r="U3" s="83"/>
      <c r="V3" s="79">
        <v>0.6</v>
      </c>
      <c r="W3" s="84">
        <v>1500</v>
      </c>
      <c r="X3" s="79">
        <v>4</v>
      </c>
      <c r="Y3" s="79">
        <v>2.6</v>
      </c>
      <c r="Z3" s="84">
        <v>2000</v>
      </c>
      <c r="AA3" s="79">
        <v>12</v>
      </c>
      <c r="AB3" s="83">
        <v>7.8</v>
      </c>
      <c r="AC3" s="79">
        <v>5.8</v>
      </c>
      <c r="AD3" s="84">
        <v>19</v>
      </c>
      <c r="AE3" s="79">
        <f>58-5.3</f>
        <v>52.7</v>
      </c>
      <c r="AF3" s="78" t="s">
        <v>476</v>
      </c>
      <c r="AI3" s="9" t="s">
        <v>248</v>
      </c>
      <c r="AJ3" s="9">
        <v>18</v>
      </c>
      <c r="AK3" s="9">
        <v>30</v>
      </c>
      <c r="AL3" s="16">
        <v>45.84</v>
      </c>
      <c r="AM3" s="9">
        <v>38</v>
      </c>
    </row>
    <row r="4" spans="1:39" ht="19.95" customHeight="1" x14ac:dyDescent="0.3">
      <c r="A4" s="4" t="s">
        <v>247</v>
      </c>
      <c r="B4" s="15">
        <v>90</v>
      </c>
      <c r="C4" s="9" t="s">
        <v>246</v>
      </c>
      <c r="K4" s="78" t="s">
        <v>287</v>
      </c>
      <c r="L4" s="79">
        <v>30</v>
      </c>
      <c r="M4" s="79">
        <v>6</v>
      </c>
      <c r="N4" s="79"/>
      <c r="O4" s="79">
        <v>9694</v>
      </c>
      <c r="P4" s="79">
        <v>17892</v>
      </c>
      <c r="Q4" s="79"/>
      <c r="R4" s="79">
        <v>85</v>
      </c>
      <c r="S4" s="78" t="s">
        <v>286</v>
      </c>
      <c r="T4" s="78" t="s">
        <v>478</v>
      </c>
      <c r="U4" s="83"/>
      <c r="V4" s="79">
        <v>0.75</v>
      </c>
      <c r="W4" s="84">
        <v>2000</v>
      </c>
      <c r="X4" s="79">
        <v>3.58</v>
      </c>
      <c r="Y4" s="79">
        <v>3.2</v>
      </c>
      <c r="Z4" s="84">
        <v>2500</v>
      </c>
      <c r="AA4" s="79">
        <v>10.7</v>
      </c>
      <c r="AB4" s="83">
        <v>9.6</v>
      </c>
      <c r="AC4" s="79">
        <v>5.8</v>
      </c>
      <c r="AD4" s="84">
        <v>19</v>
      </c>
      <c r="AE4" s="79">
        <f>58-5.3</f>
        <v>52.7</v>
      </c>
      <c r="AF4" s="78" t="s">
        <v>476</v>
      </c>
      <c r="AI4" s="9" t="s">
        <v>245</v>
      </c>
      <c r="AJ4" s="9">
        <v>19</v>
      </c>
      <c r="AK4" s="9">
        <v>25</v>
      </c>
      <c r="AL4" s="16">
        <v>48.38</v>
      </c>
      <c r="AM4" s="9">
        <v>33</v>
      </c>
    </row>
    <row r="5" spans="1:39" ht="19.95" customHeight="1" x14ac:dyDescent="0.3">
      <c r="A5" s="4" t="s">
        <v>244</v>
      </c>
      <c r="B5" s="16">
        <v>0.01</v>
      </c>
      <c r="K5" s="78" t="s">
        <v>288</v>
      </c>
      <c r="L5" s="79">
        <v>30</v>
      </c>
      <c r="M5" s="79">
        <v>10</v>
      </c>
      <c r="N5" s="79"/>
      <c r="O5" s="79">
        <v>10849</v>
      </c>
      <c r="P5" s="79">
        <v>17792</v>
      </c>
      <c r="Q5" s="79"/>
      <c r="R5" s="79">
        <v>85</v>
      </c>
      <c r="S5" s="78" t="s">
        <v>286</v>
      </c>
      <c r="T5" s="78" t="s">
        <v>479</v>
      </c>
      <c r="U5" s="83"/>
      <c r="V5" s="79">
        <v>0.75</v>
      </c>
      <c r="W5" s="84">
        <v>1500</v>
      </c>
      <c r="X5" s="79">
        <v>5</v>
      </c>
      <c r="Y5" s="79">
        <v>3.2</v>
      </c>
      <c r="Z5" s="84">
        <v>2000</v>
      </c>
      <c r="AA5" s="79">
        <v>12</v>
      </c>
      <c r="AB5" s="83">
        <v>9.6</v>
      </c>
      <c r="AC5" s="79">
        <v>6.6</v>
      </c>
      <c r="AD5" s="84">
        <v>19</v>
      </c>
      <c r="AE5" s="79">
        <f>58-5.3</f>
        <v>52.7</v>
      </c>
      <c r="AF5" s="78" t="s">
        <v>476</v>
      </c>
      <c r="AI5" s="9" t="s">
        <v>243</v>
      </c>
      <c r="AJ5" s="9">
        <v>19</v>
      </c>
      <c r="AK5" s="9">
        <v>30</v>
      </c>
      <c r="AL5" s="16">
        <v>48.38</v>
      </c>
      <c r="AM5" s="9">
        <v>38</v>
      </c>
    </row>
    <row r="6" spans="1:39" ht="19.95" customHeight="1" x14ac:dyDescent="0.3">
      <c r="K6" s="78" t="s">
        <v>289</v>
      </c>
      <c r="L6" s="79">
        <v>30</v>
      </c>
      <c r="M6" s="79">
        <v>20</v>
      </c>
      <c r="N6" s="79"/>
      <c r="O6" s="79">
        <v>12580</v>
      </c>
      <c r="P6" s="79">
        <v>18090</v>
      </c>
      <c r="Q6" s="79"/>
      <c r="R6" s="79">
        <v>85</v>
      </c>
      <c r="S6" s="78" t="s">
        <v>286</v>
      </c>
      <c r="T6" s="78" t="s">
        <v>480</v>
      </c>
      <c r="U6" s="9" t="s">
        <v>481</v>
      </c>
      <c r="V6" s="85">
        <v>2</v>
      </c>
      <c r="W6" s="86">
        <v>3000</v>
      </c>
      <c r="X6" s="85">
        <v>6.4</v>
      </c>
      <c r="Y6" s="85">
        <v>9.5</v>
      </c>
      <c r="Z6" s="86">
        <v>5000</v>
      </c>
      <c r="AA6" s="85">
        <v>19.2</v>
      </c>
      <c r="AB6" s="38"/>
      <c r="AC6" s="85"/>
      <c r="AD6" s="87">
        <v>19</v>
      </c>
      <c r="AE6" s="88">
        <v>50</v>
      </c>
      <c r="AF6" s="78" t="s">
        <v>476</v>
      </c>
      <c r="AI6" s="9" t="s">
        <v>241</v>
      </c>
      <c r="AJ6" s="9">
        <v>20</v>
      </c>
      <c r="AK6" s="9">
        <v>25</v>
      </c>
      <c r="AL6" s="16">
        <v>50.93</v>
      </c>
      <c r="AM6" s="9">
        <v>33</v>
      </c>
    </row>
    <row r="7" spans="1:39" ht="19.95" customHeight="1" x14ac:dyDescent="0.3">
      <c r="A7" s="47" t="s">
        <v>240</v>
      </c>
      <c r="B7" s="46" t="s">
        <v>573</v>
      </c>
      <c r="C7" s="10"/>
      <c r="K7" s="78" t="s">
        <v>290</v>
      </c>
      <c r="L7" s="79">
        <v>30</v>
      </c>
      <c r="M7" s="79">
        <v>6</v>
      </c>
      <c r="N7" s="79"/>
      <c r="O7" s="79">
        <v>9230</v>
      </c>
      <c r="P7" s="79">
        <v>18305</v>
      </c>
      <c r="Q7" s="79"/>
      <c r="R7" s="79">
        <v>80</v>
      </c>
      <c r="S7" s="78" t="s">
        <v>286</v>
      </c>
      <c r="T7" s="78" t="s">
        <v>482</v>
      </c>
      <c r="U7" s="9" t="s">
        <v>483</v>
      </c>
      <c r="V7" s="85">
        <v>3</v>
      </c>
      <c r="W7" s="86">
        <v>2000</v>
      </c>
      <c r="X7" s="85">
        <v>15</v>
      </c>
      <c r="Y7" s="85">
        <v>11.7</v>
      </c>
      <c r="Z7" s="86">
        <v>2300</v>
      </c>
      <c r="AA7" s="85">
        <v>15</v>
      </c>
      <c r="AB7" s="38"/>
      <c r="AC7" s="85"/>
      <c r="AD7" s="87">
        <v>22</v>
      </c>
      <c r="AE7" s="88">
        <v>52</v>
      </c>
      <c r="AF7" s="78" t="s">
        <v>476</v>
      </c>
      <c r="AI7" s="9" t="s">
        <v>238</v>
      </c>
      <c r="AJ7" s="9">
        <v>20</v>
      </c>
      <c r="AK7" s="9">
        <v>30</v>
      </c>
      <c r="AL7" s="16">
        <v>50.93</v>
      </c>
      <c r="AM7" s="9">
        <v>38</v>
      </c>
    </row>
    <row r="8" spans="1:39" ht="19.95" customHeight="1" x14ac:dyDescent="0.3">
      <c r="A8" s="4" t="s">
        <v>21</v>
      </c>
      <c r="B8" s="15">
        <f>INDEX($K$2:$S$187,MATCH($B$7,$K$2:$K$187),2)</f>
        <v>25</v>
      </c>
      <c r="C8" s="9" t="s">
        <v>19</v>
      </c>
      <c r="K8" s="78" t="s">
        <v>291</v>
      </c>
      <c r="L8" s="79">
        <v>30</v>
      </c>
      <c r="M8" s="79">
        <v>9</v>
      </c>
      <c r="N8" s="79"/>
      <c r="O8" s="79">
        <v>9951</v>
      </c>
      <c r="P8" s="79">
        <v>17760</v>
      </c>
      <c r="Q8" s="79"/>
      <c r="R8" s="79">
        <v>80</v>
      </c>
      <c r="S8" s="78" t="s">
        <v>286</v>
      </c>
      <c r="T8" s="89" t="s">
        <v>484</v>
      </c>
      <c r="U8" s="9" t="s">
        <v>242</v>
      </c>
      <c r="V8" s="85">
        <v>0.4</v>
      </c>
      <c r="W8" s="86">
        <v>3000</v>
      </c>
      <c r="X8" s="85">
        <v>1.274</v>
      </c>
      <c r="Y8" s="85">
        <v>2</v>
      </c>
      <c r="Z8" s="86">
        <v>4000</v>
      </c>
      <c r="AA8" s="85">
        <v>3.8220000000000001</v>
      </c>
      <c r="AB8" s="38">
        <v>6</v>
      </c>
      <c r="AC8" s="85">
        <v>2</v>
      </c>
      <c r="AD8" s="87">
        <v>14</v>
      </c>
      <c r="AE8" s="88">
        <v>27</v>
      </c>
      <c r="AF8" s="78" t="s">
        <v>485</v>
      </c>
      <c r="AI8" s="9" t="s">
        <v>236</v>
      </c>
      <c r="AJ8" s="9">
        <v>21</v>
      </c>
      <c r="AK8" s="9">
        <v>25</v>
      </c>
      <c r="AL8" s="16">
        <v>53.48</v>
      </c>
      <c r="AM8" s="9">
        <v>33</v>
      </c>
    </row>
    <row r="9" spans="1:39" ht="19.95" customHeight="1" x14ac:dyDescent="0.4">
      <c r="A9" s="5" t="s">
        <v>12</v>
      </c>
      <c r="B9" s="15">
        <f>INDEX($K$2:$S$187,MATCH($B$7,$K$2:$K$187),3)</f>
        <v>10</v>
      </c>
      <c r="C9" s="9" t="s">
        <v>17</v>
      </c>
      <c r="K9" s="78" t="s">
        <v>292</v>
      </c>
      <c r="L9" s="79">
        <v>30</v>
      </c>
      <c r="M9" s="79">
        <v>12</v>
      </c>
      <c r="N9" s="79"/>
      <c r="O9" s="79">
        <v>10878</v>
      </c>
      <c r="P9" s="79">
        <v>18480</v>
      </c>
      <c r="Q9" s="79"/>
      <c r="R9" s="79">
        <v>80</v>
      </c>
      <c r="S9" s="78" t="s">
        <v>286</v>
      </c>
      <c r="T9" s="89" t="s">
        <v>486</v>
      </c>
      <c r="U9" s="9" t="s">
        <v>242</v>
      </c>
      <c r="V9" s="85">
        <v>0.4</v>
      </c>
      <c r="W9" s="86">
        <v>2000</v>
      </c>
      <c r="X9" s="85">
        <v>1.9</v>
      </c>
      <c r="Y9" s="85">
        <v>2.5</v>
      </c>
      <c r="Z9" s="86">
        <v>4000</v>
      </c>
      <c r="AA9" s="85">
        <v>5.7</v>
      </c>
      <c r="AB9" s="38">
        <v>7.5</v>
      </c>
      <c r="AC9" s="85">
        <v>3</v>
      </c>
      <c r="AD9" s="87">
        <v>14</v>
      </c>
      <c r="AE9" s="88">
        <v>30</v>
      </c>
      <c r="AF9" s="78" t="s">
        <v>485</v>
      </c>
      <c r="AI9" s="9" t="s">
        <v>233</v>
      </c>
      <c r="AJ9" s="9">
        <v>21</v>
      </c>
      <c r="AK9" s="9">
        <v>30</v>
      </c>
      <c r="AL9" s="16">
        <v>53.48</v>
      </c>
      <c r="AM9" s="9">
        <v>38</v>
      </c>
    </row>
    <row r="10" spans="1:39" ht="19.95" customHeight="1" x14ac:dyDescent="0.3">
      <c r="A10" s="4" t="s">
        <v>279</v>
      </c>
      <c r="B10" s="15">
        <f>INDEX($K$2:$S$187,MATCH($B$7,$K$2:$K$187),5)</f>
        <v>5050</v>
      </c>
      <c r="C10" s="9" t="s">
        <v>40</v>
      </c>
      <c r="K10" s="78" t="s">
        <v>293</v>
      </c>
      <c r="L10" s="79">
        <v>30</v>
      </c>
      <c r="M10" s="79">
        <v>18</v>
      </c>
      <c r="N10" s="79"/>
      <c r="O10" s="79">
        <v>11647</v>
      </c>
      <c r="P10" s="79">
        <v>18017</v>
      </c>
      <c r="Q10" s="79"/>
      <c r="R10" s="79">
        <v>80</v>
      </c>
      <c r="S10" s="78" t="s">
        <v>286</v>
      </c>
      <c r="T10" s="89" t="s">
        <v>487</v>
      </c>
      <c r="U10" s="9" t="s">
        <v>242</v>
      </c>
      <c r="V10" s="85">
        <v>0.6</v>
      </c>
      <c r="W10" s="86">
        <v>2000</v>
      </c>
      <c r="X10" s="85">
        <v>2.84</v>
      </c>
      <c r="Y10" s="85">
        <v>3.2</v>
      </c>
      <c r="Z10" s="86">
        <v>4000</v>
      </c>
      <c r="AA10" s="85">
        <v>8.52</v>
      </c>
      <c r="AB10" s="38">
        <v>9</v>
      </c>
      <c r="AC10" s="85">
        <v>4</v>
      </c>
      <c r="AD10" s="87">
        <v>16</v>
      </c>
      <c r="AE10" s="88">
        <v>30</v>
      </c>
      <c r="AF10" s="78" t="s">
        <v>485</v>
      </c>
      <c r="AI10" s="9" t="s">
        <v>231</v>
      </c>
      <c r="AJ10" s="9">
        <v>22</v>
      </c>
      <c r="AK10" s="9">
        <v>25</v>
      </c>
      <c r="AL10" s="16">
        <v>56.02</v>
      </c>
      <c r="AM10" s="9">
        <v>33</v>
      </c>
    </row>
    <row r="11" spans="1:39" ht="19.95" customHeight="1" x14ac:dyDescent="0.3">
      <c r="A11" s="9" t="s">
        <v>280</v>
      </c>
      <c r="B11" s="15">
        <f>INDEX($K$2:$S$187,MATCH($B$7,$K$2:$K$187),6)</f>
        <v>11500</v>
      </c>
      <c r="C11" s="9" t="s">
        <v>40</v>
      </c>
      <c r="K11" s="78" t="s">
        <v>294</v>
      </c>
      <c r="L11" s="79">
        <v>30</v>
      </c>
      <c r="M11" s="79">
        <v>24</v>
      </c>
      <c r="N11" s="79"/>
      <c r="O11" s="79">
        <v>12612</v>
      </c>
      <c r="P11" s="79">
        <v>18814</v>
      </c>
      <c r="Q11" s="79"/>
      <c r="R11" s="79">
        <v>80</v>
      </c>
      <c r="S11" s="78" t="s">
        <v>286</v>
      </c>
      <c r="T11" s="89" t="s">
        <v>488</v>
      </c>
      <c r="U11" s="9" t="s">
        <v>242</v>
      </c>
      <c r="V11" s="85">
        <v>1</v>
      </c>
      <c r="W11" s="86">
        <v>2000</v>
      </c>
      <c r="X11" s="85">
        <v>4.8</v>
      </c>
      <c r="Y11" s="85">
        <v>5.2</v>
      </c>
      <c r="Z11" s="86">
        <v>4000</v>
      </c>
      <c r="AA11" s="85">
        <v>14.4</v>
      </c>
      <c r="AB11" s="38">
        <v>15.6</v>
      </c>
      <c r="AC11" s="85">
        <v>6</v>
      </c>
      <c r="AD11" s="87">
        <v>16</v>
      </c>
      <c r="AE11" s="88">
        <v>30</v>
      </c>
      <c r="AF11" s="78" t="s">
        <v>485</v>
      </c>
      <c r="AI11" s="9" t="s">
        <v>229</v>
      </c>
      <c r="AJ11" s="9">
        <v>22</v>
      </c>
      <c r="AK11" s="9">
        <v>30</v>
      </c>
      <c r="AL11" s="16">
        <v>56.02</v>
      </c>
      <c r="AM11" s="9">
        <v>38</v>
      </c>
    </row>
    <row r="12" spans="1:39" ht="19.95" customHeight="1" x14ac:dyDescent="0.3">
      <c r="A12" s="4" t="s">
        <v>228</v>
      </c>
      <c r="B12" s="15">
        <f>INDEX($K$2:$S$187,MATCH($B$7,$K$2:$K$187),7)</f>
        <v>72</v>
      </c>
      <c r="C12" s="9" t="s">
        <v>227</v>
      </c>
      <c r="K12" s="78" t="s">
        <v>295</v>
      </c>
      <c r="L12" s="79">
        <v>39</v>
      </c>
      <c r="M12" s="79">
        <v>10</v>
      </c>
      <c r="N12" s="79"/>
      <c r="O12" s="79">
        <v>15573</v>
      </c>
      <c r="P12" s="79">
        <v>27646</v>
      </c>
      <c r="Q12" s="79"/>
      <c r="R12" s="79">
        <v>100</v>
      </c>
      <c r="S12" s="78" t="s">
        <v>286</v>
      </c>
      <c r="T12" s="89" t="s">
        <v>252</v>
      </c>
      <c r="U12" s="9" t="s">
        <v>242</v>
      </c>
      <c r="V12" s="85">
        <v>3</v>
      </c>
      <c r="W12" s="86">
        <v>3000</v>
      </c>
      <c r="X12" s="85">
        <v>14.3</v>
      </c>
      <c r="Y12" s="85">
        <v>10</v>
      </c>
      <c r="Z12" s="86">
        <v>4000</v>
      </c>
      <c r="AA12" s="85">
        <v>42.9</v>
      </c>
      <c r="AB12" s="38"/>
      <c r="AC12" s="85">
        <v>13</v>
      </c>
      <c r="AD12" s="87">
        <v>28</v>
      </c>
      <c r="AE12" s="88">
        <v>51</v>
      </c>
      <c r="AF12" s="78" t="s">
        <v>485</v>
      </c>
      <c r="AI12" s="9" t="s">
        <v>225</v>
      </c>
      <c r="AJ12" s="9">
        <v>24</v>
      </c>
      <c r="AK12" s="9">
        <v>25</v>
      </c>
      <c r="AL12" s="16">
        <v>61.12</v>
      </c>
      <c r="AM12" s="9">
        <v>33</v>
      </c>
    </row>
    <row r="13" spans="1:39" ht="19.95" customHeight="1" x14ac:dyDescent="0.3">
      <c r="A13" s="4" t="s">
        <v>224</v>
      </c>
      <c r="B13" s="15">
        <f>INDEX($K$2:$S$187,MATCH($B$7,$K$2:$K$187),8)</f>
        <v>78</v>
      </c>
      <c r="C13" s="9" t="s">
        <v>19</v>
      </c>
      <c r="K13" s="78" t="s">
        <v>296</v>
      </c>
      <c r="L13" s="79">
        <v>39</v>
      </c>
      <c r="M13" s="79">
        <v>20</v>
      </c>
      <c r="N13" s="79"/>
      <c r="O13" s="79">
        <v>17635</v>
      </c>
      <c r="P13" s="79">
        <v>26621</v>
      </c>
      <c r="Q13" s="79"/>
      <c r="R13" s="79">
        <v>100</v>
      </c>
      <c r="S13" s="78" t="s">
        <v>286</v>
      </c>
      <c r="T13" s="89" t="s">
        <v>249</v>
      </c>
      <c r="U13" s="9" t="s">
        <v>242</v>
      </c>
      <c r="V13" s="85">
        <v>3</v>
      </c>
      <c r="W13" s="86">
        <v>3000</v>
      </c>
      <c r="X13" s="85">
        <v>14.3</v>
      </c>
      <c r="Y13" s="85">
        <v>6.7</v>
      </c>
      <c r="Z13" s="86">
        <v>4000</v>
      </c>
      <c r="AA13" s="85">
        <v>42.9</v>
      </c>
      <c r="AB13" s="38"/>
      <c r="AC13" s="85">
        <v>13</v>
      </c>
      <c r="AD13" s="87">
        <v>28</v>
      </c>
      <c r="AE13" s="88">
        <v>51</v>
      </c>
      <c r="AF13" s="78" t="s">
        <v>485</v>
      </c>
      <c r="AI13" s="9" t="s">
        <v>222</v>
      </c>
      <c r="AJ13" s="9">
        <v>24</v>
      </c>
      <c r="AK13" s="9">
        <v>30</v>
      </c>
      <c r="AL13" s="16">
        <v>61.12</v>
      </c>
      <c r="AM13" s="9">
        <v>38</v>
      </c>
    </row>
    <row r="14" spans="1:39" ht="19.95" customHeight="1" x14ac:dyDescent="0.3">
      <c r="A14" s="4" t="s">
        <v>20</v>
      </c>
      <c r="B14" s="15">
        <f>+B3+B13+200</f>
        <v>478</v>
      </c>
      <c r="C14" s="9" t="s">
        <v>19</v>
      </c>
      <c r="K14" s="78" t="s">
        <v>297</v>
      </c>
      <c r="L14" s="79">
        <v>48</v>
      </c>
      <c r="M14" s="79">
        <v>10</v>
      </c>
      <c r="N14" s="79"/>
      <c r="O14" s="79">
        <v>23627</v>
      </c>
      <c r="P14" s="79">
        <v>48481</v>
      </c>
      <c r="Q14" s="79"/>
      <c r="R14" s="79">
        <v>127</v>
      </c>
      <c r="S14" s="78" t="s">
        <v>286</v>
      </c>
      <c r="T14" s="89" t="s">
        <v>239</v>
      </c>
      <c r="U14" s="9" t="s">
        <v>210</v>
      </c>
      <c r="V14" s="85">
        <v>1</v>
      </c>
      <c r="W14" s="86">
        <v>3000</v>
      </c>
      <c r="X14" s="85">
        <v>3.18</v>
      </c>
      <c r="Y14" s="85">
        <v>6.1</v>
      </c>
      <c r="Z14" s="86">
        <v>5175</v>
      </c>
      <c r="AA14" s="85">
        <v>7.95</v>
      </c>
      <c r="AB14" s="38">
        <v>18</v>
      </c>
      <c r="AC14" s="85">
        <v>6</v>
      </c>
      <c r="AD14" s="87">
        <v>24</v>
      </c>
      <c r="AE14" s="88">
        <v>40</v>
      </c>
      <c r="AF14" s="78" t="s">
        <v>489</v>
      </c>
      <c r="AI14" s="9" t="s">
        <v>220</v>
      </c>
      <c r="AJ14" s="9">
        <v>25</v>
      </c>
      <c r="AK14" s="9">
        <v>25</v>
      </c>
      <c r="AL14" s="16">
        <v>63.66</v>
      </c>
      <c r="AM14" s="9">
        <v>33</v>
      </c>
    </row>
    <row r="15" spans="1:39" ht="19.95" customHeight="1" x14ac:dyDescent="0.3">
      <c r="A15" s="4" t="s">
        <v>22</v>
      </c>
      <c r="B15" s="16">
        <f>ROUND(0.25*B8^2*PI()*B14*7850/1000000000,2)</f>
        <v>1.84</v>
      </c>
      <c r="C15" s="15" t="s">
        <v>18</v>
      </c>
      <c r="K15" s="78" t="s">
        <v>298</v>
      </c>
      <c r="L15" s="79">
        <v>48</v>
      </c>
      <c r="M15" s="79">
        <v>20</v>
      </c>
      <c r="N15" s="79"/>
      <c r="O15" s="79">
        <v>27111</v>
      </c>
      <c r="P15" s="79">
        <v>47170</v>
      </c>
      <c r="Q15" s="79"/>
      <c r="R15" s="79">
        <v>127</v>
      </c>
      <c r="S15" s="78" t="s">
        <v>286</v>
      </c>
      <c r="T15" s="89" t="s">
        <v>237</v>
      </c>
      <c r="U15" s="9" t="s">
        <v>210</v>
      </c>
      <c r="V15" s="85">
        <v>1.5</v>
      </c>
      <c r="W15" s="86">
        <v>3000</v>
      </c>
      <c r="X15" s="85">
        <v>4.78</v>
      </c>
      <c r="Y15" s="85">
        <v>8.8000000000000007</v>
      </c>
      <c r="Z15" s="86">
        <v>5175</v>
      </c>
      <c r="AA15" s="85">
        <v>11.9</v>
      </c>
      <c r="AB15" s="38">
        <v>23</v>
      </c>
      <c r="AC15" s="85">
        <v>7</v>
      </c>
      <c r="AD15" s="87">
        <v>24</v>
      </c>
      <c r="AE15" s="88">
        <v>40</v>
      </c>
      <c r="AF15" s="78" t="s">
        <v>489</v>
      </c>
      <c r="AI15" s="9" t="s">
        <v>218</v>
      </c>
      <c r="AJ15" s="9">
        <v>25</v>
      </c>
      <c r="AK15" s="9">
        <v>30</v>
      </c>
      <c r="AL15" s="16">
        <v>63.66</v>
      </c>
      <c r="AM15" s="9">
        <v>38</v>
      </c>
    </row>
    <row r="16" spans="1:39" ht="19.95" customHeight="1" x14ac:dyDescent="0.3">
      <c r="A16" s="4"/>
      <c r="B16" s="15"/>
      <c r="K16" s="78" t="s">
        <v>299</v>
      </c>
      <c r="L16" s="79">
        <v>56</v>
      </c>
      <c r="M16" s="79">
        <v>12</v>
      </c>
      <c r="N16" s="79"/>
      <c r="O16" s="79">
        <v>21650</v>
      </c>
      <c r="P16" s="79">
        <v>44196</v>
      </c>
      <c r="Q16" s="79"/>
      <c r="R16" s="79">
        <v>112</v>
      </c>
      <c r="S16" s="78" t="s">
        <v>286</v>
      </c>
      <c r="T16" s="89" t="s">
        <v>235</v>
      </c>
      <c r="U16" s="9" t="s">
        <v>234</v>
      </c>
      <c r="V16" s="85">
        <v>2</v>
      </c>
      <c r="W16" s="86">
        <v>3000</v>
      </c>
      <c r="X16" s="85">
        <v>6.37</v>
      </c>
      <c r="Y16" s="85">
        <v>14</v>
      </c>
      <c r="Z16" s="86">
        <v>5175</v>
      </c>
      <c r="AA16" s="85">
        <v>15.9</v>
      </c>
      <c r="AB16" s="38">
        <v>37</v>
      </c>
      <c r="AC16" s="85">
        <v>8.3000000000000007</v>
      </c>
      <c r="AD16" s="87">
        <v>24</v>
      </c>
      <c r="AE16" s="88">
        <v>40</v>
      </c>
      <c r="AF16" s="78" t="s">
        <v>489</v>
      </c>
      <c r="AI16" s="9" t="s">
        <v>215</v>
      </c>
      <c r="AJ16" s="9">
        <v>26</v>
      </c>
      <c r="AK16" s="9">
        <v>25</v>
      </c>
      <c r="AL16" s="16">
        <v>66.209999999999994</v>
      </c>
      <c r="AM16" s="9">
        <v>33</v>
      </c>
    </row>
    <row r="17" spans="1:39" ht="19.95" customHeight="1" x14ac:dyDescent="0.3">
      <c r="A17" s="55" t="s">
        <v>214</v>
      </c>
      <c r="B17" s="54">
        <v>0.3</v>
      </c>
      <c r="C17" s="24" t="s">
        <v>213</v>
      </c>
      <c r="D17" s="53">
        <f>+B17*9.81</f>
        <v>2.9430000000000001</v>
      </c>
      <c r="E17" s="9" t="s">
        <v>212</v>
      </c>
      <c r="F17" s="15">
        <f>+D17*1000</f>
        <v>2943</v>
      </c>
      <c r="G17" s="9" t="s">
        <v>211</v>
      </c>
      <c r="K17" s="78" t="s">
        <v>300</v>
      </c>
      <c r="L17" s="79">
        <v>56</v>
      </c>
      <c r="M17" s="79">
        <v>24</v>
      </c>
      <c r="N17" s="79"/>
      <c r="O17" s="79">
        <v>24716</v>
      </c>
      <c r="P17" s="79">
        <v>42770</v>
      </c>
      <c r="Q17" s="79"/>
      <c r="R17" s="79">
        <v>112</v>
      </c>
      <c r="S17" s="78" t="s">
        <v>286</v>
      </c>
      <c r="T17" s="89" t="s">
        <v>232</v>
      </c>
      <c r="U17" s="9" t="s">
        <v>210</v>
      </c>
      <c r="V17" s="85">
        <v>1.5</v>
      </c>
      <c r="W17" s="86">
        <v>2000</v>
      </c>
      <c r="X17" s="85">
        <v>7.16</v>
      </c>
      <c r="Y17" s="85">
        <v>8</v>
      </c>
      <c r="Z17" s="86">
        <v>3450</v>
      </c>
      <c r="AA17" s="85">
        <v>21.5</v>
      </c>
      <c r="AB17" s="38">
        <v>24</v>
      </c>
      <c r="AC17" s="85">
        <v>10.3</v>
      </c>
      <c r="AD17" s="87">
        <v>24</v>
      </c>
      <c r="AE17" s="88">
        <v>50</v>
      </c>
      <c r="AF17" s="78" t="s">
        <v>489</v>
      </c>
      <c r="AI17" s="9" t="s">
        <v>209</v>
      </c>
      <c r="AJ17" s="9">
        <v>26</v>
      </c>
      <c r="AK17" s="9">
        <v>30</v>
      </c>
      <c r="AL17" s="16">
        <v>66.209999999999994</v>
      </c>
      <c r="AM17" s="9">
        <v>38</v>
      </c>
    </row>
    <row r="18" spans="1:39" ht="19.95" customHeight="1" x14ac:dyDescent="0.3">
      <c r="A18" s="4" t="s">
        <v>208</v>
      </c>
      <c r="K18" s="78" t="s">
        <v>301</v>
      </c>
      <c r="L18" s="79">
        <v>60</v>
      </c>
      <c r="M18" s="79">
        <v>10</v>
      </c>
      <c r="N18" s="79"/>
      <c r="O18" s="79">
        <v>34548</v>
      </c>
      <c r="P18" s="79">
        <v>79560</v>
      </c>
      <c r="Q18" s="79"/>
      <c r="R18" s="79">
        <v>152</v>
      </c>
      <c r="S18" s="78" t="s">
        <v>286</v>
      </c>
      <c r="T18" s="89" t="s">
        <v>230</v>
      </c>
      <c r="U18" s="9" t="s">
        <v>216</v>
      </c>
      <c r="V18" s="85">
        <v>5</v>
      </c>
      <c r="W18" s="86">
        <v>3000</v>
      </c>
      <c r="X18" s="85">
        <v>15.9</v>
      </c>
      <c r="Y18" s="85">
        <v>28</v>
      </c>
      <c r="Z18" s="86">
        <v>5175</v>
      </c>
      <c r="AA18" s="85">
        <v>39.700000000000003</v>
      </c>
      <c r="AB18" s="38">
        <v>70</v>
      </c>
      <c r="AC18" s="85">
        <v>21</v>
      </c>
      <c r="AD18" s="87">
        <v>28</v>
      </c>
      <c r="AE18" s="88">
        <v>58</v>
      </c>
      <c r="AF18" s="78" t="s">
        <v>489</v>
      </c>
      <c r="AI18" s="9" t="s">
        <v>206</v>
      </c>
      <c r="AJ18" s="9">
        <v>28</v>
      </c>
      <c r="AK18" s="9">
        <v>25</v>
      </c>
      <c r="AL18" s="16">
        <v>71.3</v>
      </c>
      <c r="AM18" s="9">
        <v>33</v>
      </c>
    </row>
    <row r="19" spans="1:39" ht="19.95" customHeight="1" x14ac:dyDescent="0.3">
      <c r="A19" s="4" t="s">
        <v>205</v>
      </c>
      <c r="K19" s="78" t="s">
        <v>302</v>
      </c>
      <c r="L19" s="79">
        <v>60</v>
      </c>
      <c r="M19" s="79">
        <v>20</v>
      </c>
      <c r="N19" s="79"/>
      <c r="O19" s="79">
        <v>40303</v>
      </c>
      <c r="P19" s="79">
        <v>80169</v>
      </c>
      <c r="Q19" s="79"/>
      <c r="R19" s="79">
        <v>152</v>
      </c>
      <c r="S19" s="78" t="s">
        <v>286</v>
      </c>
      <c r="T19" s="89" t="s">
        <v>226</v>
      </c>
      <c r="U19" s="9" t="s">
        <v>210</v>
      </c>
      <c r="V19" s="85">
        <v>3.5</v>
      </c>
      <c r="W19" s="86">
        <v>2000</v>
      </c>
      <c r="X19" s="85">
        <v>16.7</v>
      </c>
      <c r="Y19" s="85">
        <v>16</v>
      </c>
      <c r="Z19" s="86">
        <v>3450</v>
      </c>
      <c r="AA19" s="85">
        <v>50.1</v>
      </c>
      <c r="AB19" s="38">
        <v>48</v>
      </c>
      <c r="AC19" s="85">
        <v>25</v>
      </c>
      <c r="AD19" s="87">
        <v>35</v>
      </c>
      <c r="AE19" s="88">
        <v>75</v>
      </c>
      <c r="AF19" s="78" t="s">
        <v>489</v>
      </c>
      <c r="AI19" s="9" t="s">
        <v>203</v>
      </c>
      <c r="AJ19" s="9">
        <v>28</v>
      </c>
      <c r="AK19" s="9">
        <v>30</v>
      </c>
      <c r="AL19" s="16">
        <v>71.3</v>
      </c>
      <c r="AM19" s="9">
        <v>38</v>
      </c>
    </row>
    <row r="20" spans="1:39" ht="19.95" customHeight="1" x14ac:dyDescent="0.3">
      <c r="A20" s="4" t="s">
        <v>202</v>
      </c>
      <c r="K20" s="78" t="s">
        <v>303</v>
      </c>
      <c r="L20" s="79">
        <v>64</v>
      </c>
      <c r="M20" s="79">
        <v>12</v>
      </c>
      <c r="N20" s="79"/>
      <c r="O20" s="79">
        <v>30243</v>
      </c>
      <c r="P20" s="79">
        <v>77888</v>
      </c>
      <c r="Q20" s="79"/>
      <c r="R20" s="79">
        <v>129</v>
      </c>
      <c r="S20" s="78" t="s">
        <v>286</v>
      </c>
      <c r="T20" s="89" t="s">
        <v>223</v>
      </c>
      <c r="U20" s="9" t="s">
        <v>210</v>
      </c>
      <c r="V20" s="85">
        <v>1.5</v>
      </c>
      <c r="W20" s="86">
        <v>2000</v>
      </c>
      <c r="X20" s="85">
        <v>7.16</v>
      </c>
      <c r="Y20" s="85">
        <v>8</v>
      </c>
      <c r="Z20" s="86">
        <v>3450</v>
      </c>
      <c r="AA20" s="85">
        <v>21.5</v>
      </c>
      <c r="AB20" s="38">
        <v>24</v>
      </c>
      <c r="AC20" s="85">
        <v>10.3</v>
      </c>
      <c r="AD20" s="87">
        <v>24</v>
      </c>
      <c r="AE20" s="88">
        <v>50</v>
      </c>
      <c r="AF20" s="78" t="s">
        <v>489</v>
      </c>
      <c r="AI20" s="9" t="s">
        <v>200</v>
      </c>
      <c r="AJ20" s="9">
        <v>30</v>
      </c>
      <c r="AK20" s="9">
        <v>15</v>
      </c>
      <c r="AL20" s="16">
        <v>28.65</v>
      </c>
      <c r="AM20" s="9">
        <v>21</v>
      </c>
    </row>
    <row r="21" spans="1:39" ht="19.95" customHeight="1" x14ac:dyDescent="0.3">
      <c r="K21" s="78" t="s">
        <v>304</v>
      </c>
      <c r="L21" s="79">
        <v>64</v>
      </c>
      <c r="M21" s="79">
        <v>24</v>
      </c>
      <c r="N21" s="79"/>
      <c r="O21" s="79">
        <v>33564</v>
      </c>
      <c r="P21" s="79">
        <v>70369</v>
      </c>
      <c r="Q21" s="79"/>
      <c r="R21" s="79">
        <v>129</v>
      </c>
      <c r="S21" s="78" t="s">
        <v>286</v>
      </c>
      <c r="T21" s="89" t="s">
        <v>221</v>
      </c>
      <c r="U21" s="9" t="s">
        <v>210</v>
      </c>
      <c r="V21" s="85">
        <v>7</v>
      </c>
      <c r="W21" s="86">
        <v>2000</v>
      </c>
      <c r="X21" s="85">
        <v>33.4</v>
      </c>
      <c r="Y21" s="85">
        <v>33</v>
      </c>
      <c r="Z21" s="86">
        <v>3450</v>
      </c>
      <c r="AA21" s="85">
        <v>100</v>
      </c>
      <c r="AB21" s="38">
        <v>99</v>
      </c>
      <c r="AC21" s="85">
        <v>38</v>
      </c>
      <c r="AD21" s="87">
        <v>35</v>
      </c>
      <c r="AE21" s="88">
        <v>75</v>
      </c>
      <c r="AF21" s="78" t="s">
        <v>489</v>
      </c>
      <c r="AI21" s="9" t="s">
        <v>198</v>
      </c>
      <c r="AJ21" s="9">
        <v>30</v>
      </c>
      <c r="AK21" s="9">
        <v>25</v>
      </c>
      <c r="AL21" s="16">
        <v>76.39</v>
      </c>
      <c r="AM21" s="9">
        <v>33</v>
      </c>
    </row>
    <row r="22" spans="1:39" ht="19.95" customHeight="1" x14ac:dyDescent="0.3">
      <c r="A22" s="4" t="s">
        <v>197</v>
      </c>
      <c r="B22" s="45">
        <f>+F17/B9</f>
        <v>294.3</v>
      </c>
      <c r="C22" s="9" t="s">
        <v>196</v>
      </c>
      <c r="D22" s="15">
        <f>+ROUND(B22*2*PI(),0)</f>
        <v>1849</v>
      </c>
      <c r="E22" s="9" t="s">
        <v>16</v>
      </c>
      <c r="K22" s="78" t="s">
        <v>305</v>
      </c>
      <c r="L22" s="79">
        <v>75</v>
      </c>
      <c r="M22" s="79">
        <v>10</v>
      </c>
      <c r="N22" s="79"/>
      <c r="O22" s="79">
        <v>51516</v>
      </c>
      <c r="P22" s="79">
        <v>151702</v>
      </c>
      <c r="Q22" s="79"/>
      <c r="R22" s="79">
        <v>191</v>
      </c>
      <c r="S22" s="78" t="s">
        <v>286</v>
      </c>
      <c r="T22" s="89" t="s">
        <v>219</v>
      </c>
      <c r="U22" s="9" t="s">
        <v>210</v>
      </c>
      <c r="V22" s="85">
        <v>3.5</v>
      </c>
      <c r="W22" s="86">
        <v>2000</v>
      </c>
      <c r="X22" s="85">
        <v>16.7</v>
      </c>
      <c r="Y22" s="85">
        <v>16</v>
      </c>
      <c r="Z22" s="86">
        <v>3450</v>
      </c>
      <c r="AA22" s="85">
        <v>50.1</v>
      </c>
      <c r="AB22" s="38">
        <v>48</v>
      </c>
      <c r="AC22" s="85">
        <v>25</v>
      </c>
      <c r="AD22" s="87">
        <v>35</v>
      </c>
      <c r="AE22" s="88">
        <v>75</v>
      </c>
      <c r="AF22" s="78" t="s">
        <v>489</v>
      </c>
      <c r="AI22" s="9" t="s">
        <v>194</v>
      </c>
      <c r="AJ22" s="9">
        <v>30</v>
      </c>
      <c r="AK22" s="9">
        <v>30</v>
      </c>
      <c r="AL22" s="16">
        <v>76.39</v>
      </c>
      <c r="AM22" s="9">
        <v>38</v>
      </c>
    </row>
    <row r="23" spans="1:39" ht="19.95" customHeight="1" x14ac:dyDescent="0.3">
      <c r="A23" s="52" t="s">
        <v>193</v>
      </c>
      <c r="B23" s="51">
        <v>0.01</v>
      </c>
      <c r="C23" s="51" t="s">
        <v>192</v>
      </c>
      <c r="K23" s="78" t="s">
        <v>306</v>
      </c>
      <c r="L23" s="79">
        <v>75</v>
      </c>
      <c r="M23" s="79">
        <v>20</v>
      </c>
      <c r="N23" s="79"/>
      <c r="O23" s="79">
        <v>58394</v>
      </c>
      <c r="P23" s="79">
        <v>152640</v>
      </c>
      <c r="Q23" s="79"/>
      <c r="R23" s="79">
        <v>191</v>
      </c>
      <c r="S23" s="78" t="s">
        <v>286</v>
      </c>
      <c r="T23" s="89" t="s">
        <v>217</v>
      </c>
      <c r="U23" s="9" t="s">
        <v>216</v>
      </c>
      <c r="V23" s="85">
        <v>3.5</v>
      </c>
      <c r="W23" s="86">
        <v>3000</v>
      </c>
      <c r="X23" s="85">
        <v>11.1</v>
      </c>
      <c r="Y23" s="85">
        <v>23</v>
      </c>
      <c r="Z23" s="86">
        <v>5175</v>
      </c>
      <c r="AA23" s="85">
        <v>27.9</v>
      </c>
      <c r="AB23" s="38">
        <v>58</v>
      </c>
      <c r="AC23" s="85">
        <v>15</v>
      </c>
      <c r="AD23" s="87">
        <v>28</v>
      </c>
      <c r="AE23" s="88">
        <v>58</v>
      </c>
      <c r="AF23" s="78" t="s">
        <v>489</v>
      </c>
      <c r="AI23" s="9" t="s">
        <v>190</v>
      </c>
      <c r="AJ23" s="9">
        <v>32</v>
      </c>
      <c r="AK23" s="9">
        <v>25</v>
      </c>
      <c r="AL23" s="16">
        <v>81.489999999999995</v>
      </c>
      <c r="AM23" s="9">
        <v>33</v>
      </c>
    </row>
    <row r="24" spans="1:39" ht="19.95" customHeight="1" x14ac:dyDescent="0.3">
      <c r="A24" s="9" t="s">
        <v>576</v>
      </c>
      <c r="B24" s="50">
        <v>0.22</v>
      </c>
      <c r="C24" s="9" t="s">
        <v>108</v>
      </c>
      <c r="D24" s="11">
        <f>+B24*1000</f>
        <v>220</v>
      </c>
      <c r="E24" s="9" t="s">
        <v>109</v>
      </c>
      <c r="F24" s="48">
        <f>+B24*60</f>
        <v>13.2</v>
      </c>
      <c r="G24" s="9" t="s">
        <v>110</v>
      </c>
      <c r="H24" s="15">
        <f>+D24*60</f>
        <v>13200</v>
      </c>
      <c r="I24" s="9" t="s">
        <v>111</v>
      </c>
      <c r="K24" s="78" t="s">
        <v>307</v>
      </c>
      <c r="L24" s="79">
        <v>80</v>
      </c>
      <c r="M24" s="79">
        <v>12</v>
      </c>
      <c r="N24" s="79"/>
      <c r="O24" s="79">
        <v>41864</v>
      </c>
      <c r="P24" s="79">
        <v>118690</v>
      </c>
      <c r="Q24" s="79"/>
      <c r="R24" s="79">
        <v>156</v>
      </c>
      <c r="S24" s="78" t="s">
        <v>286</v>
      </c>
      <c r="T24" s="89" t="s">
        <v>490</v>
      </c>
      <c r="U24" s="9" t="s">
        <v>210</v>
      </c>
      <c r="V24" s="85">
        <v>7</v>
      </c>
      <c r="W24" s="86">
        <v>2000</v>
      </c>
      <c r="X24" s="85">
        <v>33.4</v>
      </c>
      <c r="Y24" s="85">
        <v>33</v>
      </c>
      <c r="Z24" s="86">
        <v>3450</v>
      </c>
      <c r="AA24" s="85">
        <v>100</v>
      </c>
      <c r="AB24" s="38">
        <v>99</v>
      </c>
      <c r="AC24" s="85">
        <v>38</v>
      </c>
      <c r="AD24" s="87">
        <v>35</v>
      </c>
      <c r="AE24" s="88">
        <v>75</v>
      </c>
      <c r="AF24" s="78" t="s">
        <v>489</v>
      </c>
      <c r="AI24" s="9" t="s">
        <v>187</v>
      </c>
      <c r="AJ24" s="9">
        <v>32</v>
      </c>
      <c r="AK24" s="9">
        <v>30</v>
      </c>
      <c r="AL24" s="16">
        <v>81.489999999999995</v>
      </c>
      <c r="AM24" s="9">
        <v>38</v>
      </c>
    </row>
    <row r="25" spans="1:39" ht="19.95" customHeight="1" x14ac:dyDescent="0.3">
      <c r="K25" s="78" t="s">
        <v>308</v>
      </c>
      <c r="L25" s="79">
        <v>80</v>
      </c>
      <c r="M25" s="79">
        <v>18</v>
      </c>
      <c r="N25" s="79"/>
      <c r="O25" s="79">
        <v>46524</v>
      </c>
      <c r="P25" s="79">
        <v>119146</v>
      </c>
      <c r="Q25" s="79"/>
      <c r="R25" s="79">
        <v>156</v>
      </c>
      <c r="S25" s="78" t="s">
        <v>286</v>
      </c>
      <c r="T25" s="89" t="s">
        <v>491</v>
      </c>
      <c r="U25" s="9" t="s">
        <v>492</v>
      </c>
      <c r="V25" s="85">
        <v>1</v>
      </c>
      <c r="W25" s="86">
        <v>3000</v>
      </c>
      <c r="X25" s="85">
        <v>3.2</v>
      </c>
      <c r="Y25" s="85">
        <v>5.6</v>
      </c>
      <c r="Z25" s="86">
        <v>6000</v>
      </c>
      <c r="AA25" s="85">
        <v>9.6</v>
      </c>
      <c r="AB25" s="38">
        <v>17</v>
      </c>
      <c r="AC25" s="85">
        <v>4.5</v>
      </c>
      <c r="AD25" s="87">
        <v>16</v>
      </c>
      <c r="AE25" s="88">
        <v>30</v>
      </c>
      <c r="AF25" s="78" t="s">
        <v>489</v>
      </c>
      <c r="AI25" s="9" t="s">
        <v>185</v>
      </c>
      <c r="AJ25" s="9">
        <v>34</v>
      </c>
      <c r="AK25" s="9">
        <v>25</v>
      </c>
      <c r="AL25" s="16">
        <v>86.58</v>
      </c>
      <c r="AM25" s="9">
        <v>33</v>
      </c>
    </row>
    <row r="26" spans="1:39" ht="19.95" customHeight="1" x14ac:dyDescent="0.3">
      <c r="A26" s="47" t="s">
        <v>184</v>
      </c>
      <c r="B26" s="46" t="s">
        <v>574</v>
      </c>
      <c r="K26" s="78" t="s">
        <v>309</v>
      </c>
      <c r="L26" s="79">
        <v>80</v>
      </c>
      <c r="M26" s="79">
        <v>24</v>
      </c>
      <c r="N26" s="79"/>
      <c r="O26" s="79">
        <v>46816</v>
      </c>
      <c r="P26" s="79">
        <v>119598</v>
      </c>
      <c r="Q26" s="79"/>
      <c r="R26" s="79">
        <v>156</v>
      </c>
      <c r="S26" s="78" t="s">
        <v>286</v>
      </c>
      <c r="T26" s="89" t="s">
        <v>493</v>
      </c>
      <c r="U26" s="9" t="s">
        <v>494</v>
      </c>
      <c r="V26" s="85">
        <v>1.5</v>
      </c>
      <c r="W26" s="86">
        <v>3000</v>
      </c>
      <c r="X26" s="85">
        <v>4.8</v>
      </c>
      <c r="Y26" s="85">
        <v>11</v>
      </c>
      <c r="Z26" s="86">
        <v>6000</v>
      </c>
      <c r="AA26" s="85">
        <v>14.3</v>
      </c>
      <c r="AB26" s="38">
        <v>32</v>
      </c>
      <c r="AC26" s="85">
        <v>5.9</v>
      </c>
      <c r="AD26" s="87">
        <v>16</v>
      </c>
      <c r="AE26" s="88">
        <v>30</v>
      </c>
      <c r="AF26" s="78" t="s">
        <v>489</v>
      </c>
      <c r="AI26" s="9" t="s">
        <v>182</v>
      </c>
      <c r="AJ26" s="9">
        <v>34</v>
      </c>
      <c r="AK26" s="9">
        <v>30</v>
      </c>
      <c r="AL26" s="16">
        <v>86.58</v>
      </c>
      <c r="AM26" s="9">
        <v>38</v>
      </c>
    </row>
    <row r="27" spans="1:39" ht="19.95" customHeight="1" x14ac:dyDescent="0.3">
      <c r="A27" s="4" t="s">
        <v>181</v>
      </c>
      <c r="B27" s="49" t="str">
        <f>INDEX($T$2:$AF$137,MATCH($B$26,$T$2:$T$137),2)</f>
        <v>SDE-200A2U</v>
      </c>
      <c r="F27" s="12"/>
      <c r="K27" s="78" t="s">
        <v>310</v>
      </c>
      <c r="L27" s="79">
        <v>99</v>
      </c>
      <c r="M27" s="79">
        <v>20</v>
      </c>
      <c r="N27" s="79"/>
      <c r="O27" s="79">
        <v>94373</v>
      </c>
      <c r="P27" s="79">
        <v>315351</v>
      </c>
      <c r="Q27" s="79"/>
      <c r="R27" s="79">
        <v>260</v>
      </c>
      <c r="S27" s="78" t="s">
        <v>286</v>
      </c>
      <c r="T27" s="89" t="s">
        <v>495</v>
      </c>
      <c r="U27" s="9" t="s">
        <v>494</v>
      </c>
      <c r="V27" s="85">
        <v>2</v>
      </c>
      <c r="W27" s="86">
        <v>3000</v>
      </c>
      <c r="X27" s="85">
        <v>6.4</v>
      </c>
      <c r="Y27" s="85">
        <v>11</v>
      </c>
      <c r="Z27" s="86">
        <v>6000</v>
      </c>
      <c r="AA27" s="85">
        <v>19.100000000000001</v>
      </c>
      <c r="AB27" s="38">
        <v>32</v>
      </c>
      <c r="AC27" s="85">
        <v>7.5</v>
      </c>
      <c r="AD27" s="87">
        <v>16</v>
      </c>
      <c r="AE27" s="88">
        <v>30</v>
      </c>
      <c r="AF27" s="78" t="s">
        <v>489</v>
      </c>
      <c r="AI27" s="9" t="s">
        <v>179</v>
      </c>
      <c r="AJ27" s="9">
        <v>36</v>
      </c>
      <c r="AK27" s="9">
        <v>25</v>
      </c>
      <c r="AL27" s="16">
        <v>91.67</v>
      </c>
      <c r="AM27" s="9">
        <v>33</v>
      </c>
    </row>
    <row r="28" spans="1:39" ht="19.95" customHeight="1" x14ac:dyDescent="0.3">
      <c r="A28" s="4" t="s">
        <v>178</v>
      </c>
      <c r="B28" s="45">
        <f>INDEX($T$2:$AF$137,MATCH($B$26,$T$2:$T$137),3)</f>
        <v>2</v>
      </c>
      <c r="C28" s="9" t="s">
        <v>3</v>
      </c>
      <c r="K28" s="78" t="s">
        <v>311</v>
      </c>
      <c r="L28" s="79">
        <v>100</v>
      </c>
      <c r="M28" s="79">
        <v>24</v>
      </c>
      <c r="N28" s="79"/>
      <c r="O28" s="79">
        <v>66919</v>
      </c>
      <c r="P28" s="79">
        <v>186308</v>
      </c>
      <c r="Q28" s="79"/>
      <c r="R28" s="79">
        <v>195</v>
      </c>
      <c r="S28" s="78" t="s">
        <v>286</v>
      </c>
      <c r="T28" s="89" t="s">
        <v>496</v>
      </c>
      <c r="U28" s="9" t="s">
        <v>497</v>
      </c>
      <c r="V28" s="85">
        <v>3.5</v>
      </c>
      <c r="W28" s="86">
        <v>3000</v>
      </c>
      <c r="X28" s="85">
        <v>10.5</v>
      </c>
      <c r="Y28" s="85">
        <v>17</v>
      </c>
      <c r="Z28" s="86">
        <v>6000</v>
      </c>
      <c r="AA28" s="85">
        <v>32</v>
      </c>
      <c r="AB28" s="38">
        <v>51</v>
      </c>
      <c r="AC28" s="85">
        <v>13</v>
      </c>
      <c r="AD28" s="87">
        <v>28</v>
      </c>
      <c r="AE28" s="88">
        <v>50</v>
      </c>
      <c r="AF28" s="78" t="s">
        <v>489</v>
      </c>
      <c r="AI28" s="9" t="s">
        <v>176</v>
      </c>
      <c r="AJ28" s="9">
        <v>36</v>
      </c>
      <c r="AK28" s="9">
        <v>30</v>
      </c>
      <c r="AL28" s="16">
        <v>91.67</v>
      </c>
      <c r="AM28" s="9">
        <v>38</v>
      </c>
    </row>
    <row r="29" spans="1:39" ht="19.95" customHeight="1" x14ac:dyDescent="0.4">
      <c r="A29" s="5" t="s">
        <v>278</v>
      </c>
      <c r="B29" s="16">
        <f>INDEX($T$2:$AF$137,MATCH($B$26,$T$2:$T$137),5)</f>
        <v>9.5500000000000007</v>
      </c>
      <c r="C29" s="9" t="s">
        <v>13</v>
      </c>
      <c r="K29" s="78" t="s">
        <v>312</v>
      </c>
      <c r="L29" s="79">
        <v>120</v>
      </c>
      <c r="M29" s="79">
        <v>24</v>
      </c>
      <c r="N29" s="80"/>
      <c r="O29" s="79">
        <v>93369</v>
      </c>
      <c r="P29" s="79">
        <v>308883</v>
      </c>
      <c r="Q29" s="79"/>
      <c r="R29" s="79">
        <v>240</v>
      </c>
      <c r="S29" s="78" t="s">
        <v>286</v>
      </c>
      <c r="T29" s="89" t="s">
        <v>498</v>
      </c>
      <c r="U29" s="9" t="s">
        <v>499</v>
      </c>
      <c r="V29" s="85">
        <v>5</v>
      </c>
      <c r="W29" s="86">
        <v>3000</v>
      </c>
      <c r="X29" s="85">
        <v>15.9</v>
      </c>
      <c r="Y29" s="85">
        <v>27</v>
      </c>
      <c r="Z29" s="86">
        <v>6000</v>
      </c>
      <c r="AA29" s="85">
        <v>47.7</v>
      </c>
      <c r="AB29" s="38">
        <v>81</v>
      </c>
      <c r="AC29" s="85">
        <v>18</v>
      </c>
      <c r="AD29" s="87">
        <v>28</v>
      </c>
      <c r="AE29" s="88">
        <v>50</v>
      </c>
      <c r="AF29" s="78" t="s">
        <v>489</v>
      </c>
      <c r="AI29" s="9" t="s">
        <v>174</v>
      </c>
      <c r="AJ29" s="9">
        <v>38</v>
      </c>
      <c r="AK29" s="9">
        <v>25</v>
      </c>
      <c r="AL29" s="16">
        <v>96.77</v>
      </c>
      <c r="AM29" s="9">
        <v>33</v>
      </c>
    </row>
    <row r="30" spans="1:39" ht="19.95" customHeight="1" x14ac:dyDescent="0.3">
      <c r="A30" s="4" t="s">
        <v>173</v>
      </c>
      <c r="B30" s="16">
        <f>INDEX($T$2:$AF$137,MATCH($B$26,$T$2:$T$137),8)</f>
        <v>28.5</v>
      </c>
      <c r="C30" s="9" t="s">
        <v>13</v>
      </c>
      <c r="E30" s="48"/>
      <c r="K30" s="78" t="s">
        <v>313</v>
      </c>
      <c r="L30" s="79">
        <v>120</v>
      </c>
      <c r="M30" s="79">
        <v>25</v>
      </c>
      <c r="N30" s="80"/>
      <c r="O30" s="79">
        <v>115044</v>
      </c>
      <c r="P30" s="79">
        <v>412038</v>
      </c>
      <c r="Q30" s="79"/>
      <c r="R30" s="79">
        <v>280</v>
      </c>
      <c r="S30" s="78" t="s">
        <v>286</v>
      </c>
      <c r="T30" s="89" t="s">
        <v>500</v>
      </c>
      <c r="U30" s="9" t="s">
        <v>501</v>
      </c>
      <c r="V30" s="85">
        <v>0.5</v>
      </c>
      <c r="W30" s="86">
        <v>3000</v>
      </c>
      <c r="X30" s="85">
        <v>1.6</v>
      </c>
      <c r="Y30" s="85">
        <v>3</v>
      </c>
      <c r="Z30" s="86">
        <v>6000</v>
      </c>
      <c r="AA30" s="85">
        <v>4.8</v>
      </c>
      <c r="AB30" s="38">
        <v>9</v>
      </c>
      <c r="AC30" s="85">
        <v>3</v>
      </c>
      <c r="AD30" s="87">
        <v>16</v>
      </c>
      <c r="AE30" s="88">
        <v>30</v>
      </c>
      <c r="AF30" s="78" t="s">
        <v>489</v>
      </c>
      <c r="AI30" s="9" t="s">
        <v>171</v>
      </c>
      <c r="AJ30" s="9">
        <v>38</v>
      </c>
      <c r="AK30" s="9">
        <v>30</v>
      </c>
      <c r="AL30" s="16">
        <v>96.77</v>
      </c>
      <c r="AM30" s="9">
        <v>38</v>
      </c>
    </row>
    <row r="31" spans="1:39" ht="19.95" customHeight="1" x14ac:dyDescent="0.4">
      <c r="A31" s="5" t="s">
        <v>277</v>
      </c>
      <c r="B31" s="15">
        <f>INDEX($T$2:$AF$137,MATCH($B$26,$T$2:$T$137),4)</f>
        <v>2000</v>
      </c>
      <c r="C31" s="9" t="s">
        <v>15</v>
      </c>
      <c r="E31" s="48"/>
      <c r="K31" s="78" t="s">
        <v>314</v>
      </c>
      <c r="L31" s="79">
        <v>150</v>
      </c>
      <c r="M31" s="79">
        <v>25</v>
      </c>
      <c r="N31" s="80"/>
      <c r="O31" s="79">
        <v>162911</v>
      </c>
      <c r="P31" s="79">
        <v>695515</v>
      </c>
      <c r="Q31" s="79"/>
      <c r="R31" s="79">
        <v>400</v>
      </c>
      <c r="S31" s="78" t="s">
        <v>286</v>
      </c>
      <c r="T31" s="89" t="s">
        <v>502</v>
      </c>
      <c r="U31" s="9" t="s">
        <v>503</v>
      </c>
      <c r="V31" s="85">
        <v>7</v>
      </c>
      <c r="W31" s="86">
        <v>3000</v>
      </c>
      <c r="X31" s="85">
        <v>22.3</v>
      </c>
      <c r="Y31" s="85">
        <v>34</v>
      </c>
      <c r="Z31" s="86">
        <v>6000</v>
      </c>
      <c r="AA31" s="85">
        <v>66.8</v>
      </c>
      <c r="AB31" s="38">
        <v>103</v>
      </c>
      <c r="AC31" s="85">
        <v>29</v>
      </c>
      <c r="AD31" s="87">
        <v>35</v>
      </c>
      <c r="AE31" s="88">
        <v>75</v>
      </c>
      <c r="AF31" s="78" t="s">
        <v>489</v>
      </c>
      <c r="AI31" s="9" t="s">
        <v>170</v>
      </c>
      <c r="AJ31" s="9">
        <v>40</v>
      </c>
      <c r="AK31" s="9">
        <v>25</v>
      </c>
      <c r="AL31" s="16">
        <v>101.86</v>
      </c>
      <c r="AM31" s="9">
        <v>33</v>
      </c>
    </row>
    <row r="32" spans="1:39" ht="19.95" customHeight="1" x14ac:dyDescent="0.3">
      <c r="A32" s="4" t="s">
        <v>169</v>
      </c>
      <c r="B32" s="15">
        <f>INDEX($T$2:$AF$137,MATCH($B$26,$T$2:$T$137),7)</f>
        <v>3500</v>
      </c>
      <c r="C32" s="9" t="s">
        <v>15</v>
      </c>
      <c r="E32" s="48"/>
      <c r="K32" s="78" t="s">
        <v>315</v>
      </c>
      <c r="L32" s="79">
        <v>150</v>
      </c>
      <c r="M32" s="79">
        <v>36</v>
      </c>
      <c r="N32" s="80"/>
      <c r="O32" s="79">
        <v>118053</v>
      </c>
      <c r="P32" s="79">
        <v>419193</v>
      </c>
      <c r="Q32" s="79"/>
      <c r="R32" s="79">
        <v>305</v>
      </c>
      <c r="S32" s="78" t="s">
        <v>286</v>
      </c>
      <c r="T32" s="89" t="s">
        <v>504</v>
      </c>
      <c r="U32" s="9" t="s">
        <v>505</v>
      </c>
      <c r="V32" s="85">
        <v>0.75</v>
      </c>
      <c r="W32" s="86">
        <v>3000</v>
      </c>
      <c r="X32" s="85">
        <v>2.4</v>
      </c>
      <c r="Y32" s="85">
        <v>5.6</v>
      </c>
      <c r="Z32" s="86">
        <v>6000</v>
      </c>
      <c r="AA32" s="85">
        <v>7.2</v>
      </c>
      <c r="AB32" s="38">
        <v>17</v>
      </c>
      <c r="AC32" s="85">
        <v>3.7</v>
      </c>
      <c r="AD32" s="87">
        <v>16</v>
      </c>
      <c r="AE32" s="88">
        <v>30</v>
      </c>
      <c r="AF32" s="78" t="s">
        <v>489</v>
      </c>
      <c r="AI32" s="9" t="s">
        <v>167</v>
      </c>
      <c r="AJ32" s="9">
        <v>40</v>
      </c>
      <c r="AK32" s="9">
        <v>30</v>
      </c>
      <c r="AL32" s="16">
        <v>101.86</v>
      </c>
      <c r="AM32" s="9">
        <v>38</v>
      </c>
    </row>
    <row r="33" spans="1:39" ht="19.95" customHeight="1" x14ac:dyDescent="0.3">
      <c r="A33" s="4" t="s">
        <v>166</v>
      </c>
      <c r="B33" s="45">
        <f>INDEX($T$2:$AF$137,MATCH($B$26,$T$2:$T$137),6)</f>
        <v>11</v>
      </c>
      <c r="C33" s="9" t="s">
        <v>163</v>
      </c>
      <c r="K33" s="78" t="s">
        <v>316</v>
      </c>
      <c r="L33" s="79">
        <v>180</v>
      </c>
      <c r="M33" s="79">
        <v>30</v>
      </c>
      <c r="N33" s="80"/>
      <c r="O33" s="79">
        <v>200239</v>
      </c>
      <c r="P33" s="79">
        <v>925410</v>
      </c>
      <c r="Q33" s="79"/>
      <c r="R33" s="79">
        <v>515</v>
      </c>
      <c r="S33" s="78" t="s">
        <v>286</v>
      </c>
      <c r="T33" s="89" t="s">
        <v>506</v>
      </c>
      <c r="U33" s="9" t="s">
        <v>507</v>
      </c>
      <c r="V33" s="85">
        <v>9</v>
      </c>
      <c r="W33" s="86">
        <v>3000</v>
      </c>
      <c r="X33" s="85">
        <v>28.6</v>
      </c>
      <c r="Y33" s="85">
        <v>41</v>
      </c>
      <c r="Z33" s="86">
        <v>6000</v>
      </c>
      <c r="AA33" s="85">
        <v>85.8</v>
      </c>
      <c r="AB33" s="38">
        <v>134</v>
      </c>
      <c r="AC33" s="85">
        <v>36</v>
      </c>
      <c r="AD33" s="87">
        <v>35</v>
      </c>
      <c r="AE33" s="88">
        <v>75</v>
      </c>
      <c r="AF33" s="78" t="s">
        <v>489</v>
      </c>
      <c r="AI33" s="9" t="s">
        <v>165</v>
      </c>
      <c r="AJ33" s="9">
        <v>44</v>
      </c>
      <c r="AK33" s="9">
        <v>25</v>
      </c>
      <c r="AL33" s="16">
        <v>112.05</v>
      </c>
      <c r="AM33" s="9">
        <v>33</v>
      </c>
    </row>
    <row r="34" spans="1:39" ht="19.95" customHeight="1" x14ac:dyDescent="0.3">
      <c r="A34" s="4" t="s">
        <v>164</v>
      </c>
      <c r="B34" s="45">
        <f>INDEX($T$2:$AF$137,MATCH($B$26,$T$2:$T$137),9)</f>
        <v>33</v>
      </c>
      <c r="C34" s="9" t="s">
        <v>163</v>
      </c>
      <c r="K34" s="78" t="s">
        <v>317</v>
      </c>
      <c r="L34" s="79">
        <v>210</v>
      </c>
      <c r="M34" s="79">
        <v>30</v>
      </c>
      <c r="N34" s="80"/>
      <c r="O34" s="79">
        <v>234245</v>
      </c>
      <c r="P34" s="79">
        <v>1160741</v>
      </c>
      <c r="Q34" s="79"/>
      <c r="R34" s="79">
        <v>550</v>
      </c>
      <c r="S34" s="78" t="s">
        <v>286</v>
      </c>
      <c r="T34" s="89" t="s">
        <v>508</v>
      </c>
      <c r="U34" s="9" t="s">
        <v>207</v>
      </c>
      <c r="V34" s="85">
        <v>0.4</v>
      </c>
      <c r="W34" s="86">
        <v>3000</v>
      </c>
      <c r="X34" s="85">
        <v>1.3</v>
      </c>
      <c r="Y34" s="85">
        <v>2.6</v>
      </c>
      <c r="Z34" s="86">
        <v>5000</v>
      </c>
      <c r="AA34" s="85">
        <v>3.8</v>
      </c>
      <c r="AB34" s="38">
        <v>7.8</v>
      </c>
      <c r="AC34" s="85">
        <v>1.9</v>
      </c>
      <c r="AD34" s="87">
        <v>14</v>
      </c>
      <c r="AE34" s="88">
        <v>26</v>
      </c>
      <c r="AF34" s="78" t="s">
        <v>489</v>
      </c>
      <c r="AI34" s="9" t="s">
        <v>162</v>
      </c>
      <c r="AJ34" s="9">
        <v>44</v>
      </c>
      <c r="AK34" s="9">
        <v>30</v>
      </c>
      <c r="AL34" s="16">
        <v>112.05</v>
      </c>
      <c r="AM34" s="9">
        <v>38</v>
      </c>
    </row>
    <row r="35" spans="1:39" ht="19.95" customHeight="1" x14ac:dyDescent="0.3">
      <c r="A35" s="4" t="s">
        <v>161</v>
      </c>
      <c r="B35" s="90">
        <f>INDEX($T$2:$AF$137,MATCH($B$26,$T$2:$T$137),10)</f>
        <v>9.9</v>
      </c>
      <c r="C35" s="9" t="s">
        <v>18</v>
      </c>
      <c r="K35" s="78" t="s">
        <v>323</v>
      </c>
      <c r="L35" s="79">
        <v>50</v>
      </c>
      <c r="M35" s="79">
        <v>20</v>
      </c>
      <c r="N35" s="80">
        <v>6.35</v>
      </c>
      <c r="O35" s="79">
        <v>4560</v>
      </c>
      <c r="P35" s="79">
        <v>13230</v>
      </c>
      <c r="Q35" s="79">
        <v>149</v>
      </c>
      <c r="R35" s="79">
        <v>155</v>
      </c>
      <c r="S35" s="78" t="s">
        <v>43</v>
      </c>
      <c r="T35" s="89" t="s">
        <v>509</v>
      </c>
      <c r="U35" s="9" t="s">
        <v>510</v>
      </c>
      <c r="V35" s="85">
        <v>0.05</v>
      </c>
      <c r="W35" s="86">
        <v>3000</v>
      </c>
      <c r="X35" s="88">
        <v>0.16</v>
      </c>
      <c r="Y35" s="85">
        <v>0.9</v>
      </c>
      <c r="Z35" s="86">
        <v>6900</v>
      </c>
      <c r="AA35" s="88">
        <v>0.56000000000000005</v>
      </c>
      <c r="AB35" s="38">
        <v>3.2</v>
      </c>
      <c r="AC35" s="85">
        <v>0.54</v>
      </c>
      <c r="AD35" s="87">
        <v>8</v>
      </c>
      <c r="AE35" s="88">
        <v>21.5</v>
      </c>
      <c r="AF35" s="78" t="s">
        <v>489</v>
      </c>
      <c r="AI35" s="9" t="s">
        <v>159</v>
      </c>
      <c r="AJ35" s="9">
        <v>48</v>
      </c>
      <c r="AK35" s="9">
        <v>15</v>
      </c>
      <c r="AL35" s="16">
        <v>45.84</v>
      </c>
      <c r="AM35" s="9">
        <v>21</v>
      </c>
    </row>
    <row r="36" spans="1:39" ht="19.95" customHeight="1" x14ac:dyDescent="0.3">
      <c r="A36" s="4" t="s">
        <v>24</v>
      </c>
      <c r="B36" s="90">
        <f>INDEX($T$2:$AF$137,MATCH($B$26,$T$2:$T$137),11)</f>
        <v>24</v>
      </c>
      <c r="C36" s="9" t="s">
        <v>19</v>
      </c>
      <c r="K36" s="78" t="s">
        <v>324</v>
      </c>
      <c r="L36" s="79">
        <v>50</v>
      </c>
      <c r="M36" s="79">
        <v>20</v>
      </c>
      <c r="N36" s="80">
        <v>6.35</v>
      </c>
      <c r="O36" s="79">
        <v>5580</v>
      </c>
      <c r="P36" s="79">
        <v>16710</v>
      </c>
      <c r="Q36" s="79">
        <v>185</v>
      </c>
      <c r="R36" s="79">
        <v>175</v>
      </c>
      <c r="S36" s="78" t="s">
        <v>43</v>
      </c>
      <c r="T36" s="89" t="s">
        <v>511</v>
      </c>
      <c r="U36" s="9" t="s">
        <v>510</v>
      </c>
      <c r="V36" s="85">
        <v>0.1</v>
      </c>
      <c r="W36" s="86">
        <v>3000</v>
      </c>
      <c r="X36" s="88">
        <v>0.32</v>
      </c>
      <c r="Y36" s="85">
        <v>0.7</v>
      </c>
      <c r="Z36" s="86">
        <v>6900</v>
      </c>
      <c r="AA36" s="88">
        <v>1.1000000000000001</v>
      </c>
      <c r="AB36" s="38">
        <v>2.5</v>
      </c>
      <c r="AC36" s="85">
        <v>0.74</v>
      </c>
      <c r="AD36" s="87">
        <v>8</v>
      </c>
      <c r="AE36" s="88">
        <v>21.5</v>
      </c>
      <c r="AF36" s="78" t="s">
        <v>489</v>
      </c>
      <c r="AI36" s="9" t="s">
        <v>157</v>
      </c>
      <c r="AJ36" s="9">
        <v>48</v>
      </c>
      <c r="AK36" s="9">
        <v>25</v>
      </c>
      <c r="AL36" s="16">
        <v>122.23</v>
      </c>
      <c r="AM36" s="9">
        <v>33</v>
      </c>
    </row>
    <row r="37" spans="1:39" ht="19.95" customHeight="1" x14ac:dyDescent="0.3">
      <c r="A37" s="4" t="s">
        <v>23</v>
      </c>
      <c r="B37" s="90">
        <f>INDEX($T$2:$AF$137,MATCH($B$26,$T$2:$T$137),12)</f>
        <v>50</v>
      </c>
      <c r="C37" s="9" t="s">
        <v>19</v>
      </c>
      <c r="K37" s="78" t="s">
        <v>325</v>
      </c>
      <c r="L37" s="79">
        <v>16</v>
      </c>
      <c r="M37" s="79">
        <v>10</v>
      </c>
      <c r="N37" s="80">
        <v>3</v>
      </c>
      <c r="O37" s="79">
        <v>1172</v>
      </c>
      <c r="P37" s="79">
        <v>1255</v>
      </c>
      <c r="Q37" s="79"/>
      <c r="R37" s="79">
        <v>45</v>
      </c>
      <c r="S37" s="78" t="s">
        <v>318</v>
      </c>
      <c r="T37" s="89" t="s">
        <v>512</v>
      </c>
      <c r="U37" s="9" t="s">
        <v>513</v>
      </c>
      <c r="V37" s="85">
        <v>0.2</v>
      </c>
      <c r="W37" s="86">
        <v>3000</v>
      </c>
      <c r="X37" s="88">
        <v>0.64</v>
      </c>
      <c r="Y37" s="85">
        <v>1.3</v>
      </c>
      <c r="Z37" s="86">
        <v>6900</v>
      </c>
      <c r="AA37" s="88">
        <v>2.2000000000000002</v>
      </c>
      <c r="AB37" s="38">
        <v>4.5999999999999996</v>
      </c>
      <c r="AC37" s="85">
        <v>1.3</v>
      </c>
      <c r="AD37" s="87">
        <v>14</v>
      </c>
      <c r="AE37" s="88">
        <v>26</v>
      </c>
      <c r="AF37" s="78" t="s">
        <v>489</v>
      </c>
      <c r="AI37" s="9" t="s">
        <v>155</v>
      </c>
      <c r="AJ37" s="9">
        <v>48</v>
      </c>
      <c r="AK37" s="9">
        <v>30</v>
      </c>
      <c r="AL37" s="16">
        <v>122.23</v>
      </c>
      <c r="AM37" s="9">
        <v>38</v>
      </c>
    </row>
    <row r="38" spans="1:39" ht="19.95" customHeight="1" x14ac:dyDescent="0.3">
      <c r="K38" s="78" t="s">
        <v>326</v>
      </c>
      <c r="L38" s="79">
        <v>16</v>
      </c>
      <c r="M38" s="79">
        <v>16</v>
      </c>
      <c r="N38" s="80">
        <v>3</v>
      </c>
      <c r="O38" s="79">
        <v>1143</v>
      </c>
      <c r="P38" s="79">
        <v>1224</v>
      </c>
      <c r="Q38" s="79"/>
      <c r="R38" s="79">
        <v>61</v>
      </c>
      <c r="S38" s="78" t="s">
        <v>318</v>
      </c>
      <c r="T38" s="89" t="s">
        <v>514</v>
      </c>
      <c r="U38" s="9" t="s">
        <v>515</v>
      </c>
      <c r="V38" s="85">
        <v>0.4</v>
      </c>
      <c r="W38" s="86">
        <v>3000</v>
      </c>
      <c r="X38" s="88">
        <v>1.3</v>
      </c>
      <c r="Y38" s="85">
        <v>2.6</v>
      </c>
      <c r="Z38" s="86">
        <v>6900</v>
      </c>
      <c r="AA38" s="88">
        <v>4.5</v>
      </c>
      <c r="AB38" s="38">
        <v>9.1</v>
      </c>
      <c r="AC38" s="85">
        <v>1.8</v>
      </c>
      <c r="AD38" s="87">
        <v>14</v>
      </c>
      <c r="AE38" s="88">
        <v>26</v>
      </c>
      <c r="AF38" s="78" t="s">
        <v>489</v>
      </c>
      <c r="AI38" s="9" t="s">
        <v>153</v>
      </c>
      <c r="AJ38" s="9">
        <v>50</v>
      </c>
      <c r="AK38" s="9">
        <v>25</v>
      </c>
      <c r="AL38" s="16">
        <v>127.32</v>
      </c>
      <c r="AM38" s="9">
        <v>33</v>
      </c>
    </row>
    <row r="39" spans="1:39" ht="19.95" customHeight="1" x14ac:dyDescent="0.3">
      <c r="A39" s="47" t="s">
        <v>152</v>
      </c>
      <c r="B39" s="46" t="s">
        <v>284</v>
      </c>
      <c r="K39" s="78" t="s">
        <v>327</v>
      </c>
      <c r="L39" s="79">
        <v>20</v>
      </c>
      <c r="M39" s="79">
        <v>5</v>
      </c>
      <c r="N39" s="80">
        <v>3</v>
      </c>
      <c r="O39" s="79">
        <v>1755</v>
      </c>
      <c r="P39" s="79">
        <v>2194</v>
      </c>
      <c r="Q39" s="79"/>
      <c r="R39" s="79">
        <v>40</v>
      </c>
      <c r="S39" s="78" t="s">
        <v>318</v>
      </c>
      <c r="T39" s="89" t="s">
        <v>516</v>
      </c>
      <c r="U39" s="9" t="s">
        <v>505</v>
      </c>
      <c r="V39" s="85">
        <v>0.75</v>
      </c>
      <c r="W39" s="86">
        <v>3000</v>
      </c>
      <c r="X39" s="88">
        <v>2.4</v>
      </c>
      <c r="Y39" s="85">
        <v>4.9000000000000004</v>
      </c>
      <c r="Z39" s="86">
        <v>6900</v>
      </c>
      <c r="AA39" s="88">
        <v>8.4</v>
      </c>
      <c r="AB39" s="38">
        <v>17.2</v>
      </c>
      <c r="AC39" s="85">
        <v>3.8</v>
      </c>
      <c r="AD39" s="87">
        <v>19</v>
      </c>
      <c r="AE39" s="88">
        <v>36</v>
      </c>
      <c r="AF39" s="78" t="s">
        <v>489</v>
      </c>
      <c r="AI39" s="9" t="s">
        <v>150</v>
      </c>
      <c r="AJ39" s="9">
        <v>50</v>
      </c>
      <c r="AK39" s="9">
        <v>30</v>
      </c>
      <c r="AL39" s="16">
        <v>127.32</v>
      </c>
      <c r="AM39" s="9">
        <v>38</v>
      </c>
    </row>
    <row r="40" spans="1:39" ht="19.95" customHeight="1" x14ac:dyDescent="0.3">
      <c r="A40" s="4" t="s">
        <v>5</v>
      </c>
      <c r="B40" s="15">
        <f>INDEX($AI$2:$AM$53,MATCH($B$39,$AI$2:$AI$53),2)</f>
        <v>32</v>
      </c>
      <c r="K40" s="78" t="s">
        <v>328</v>
      </c>
      <c r="L40" s="79">
        <v>20</v>
      </c>
      <c r="M40" s="79">
        <v>10</v>
      </c>
      <c r="N40" s="80">
        <v>3</v>
      </c>
      <c r="O40" s="79">
        <v>1724</v>
      </c>
      <c r="P40" s="79">
        <v>2173</v>
      </c>
      <c r="Q40" s="79"/>
      <c r="R40" s="79">
        <v>60</v>
      </c>
      <c r="S40" s="78" t="s">
        <v>318</v>
      </c>
      <c r="T40" s="89" t="s">
        <v>517</v>
      </c>
      <c r="U40" s="9" t="s">
        <v>510</v>
      </c>
      <c r="V40" s="85">
        <v>0.05</v>
      </c>
      <c r="W40" s="86">
        <v>3000</v>
      </c>
      <c r="X40" s="88">
        <v>0.16</v>
      </c>
      <c r="Y40" s="85">
        <v>1</v>
      </c>
      <c r="Z40" s="86">
        <v>6900</v>
      </c>
      <c r="AA40" s="88">
        <v>0.48</v>
      </c>
      <c r="AB40" s="38">
        <v>3.1</v>
      </c>
      <c r="AC40" s="85">
        <v>0.54</v>
      </c>
      <c r="AD40" s="87">
        <v>8</v>
      </c>
      <c r="AE40" s="88">
        <v>21.5</v>
      </c>
      <c r="AF40" s="78" t="s">
        <v>489</v>
      </c>
      <c r="AI40" s="9" t="s">
        <v>148</v>
      </c>
      <c r="AJ40" s="9">
        <v>60</v>
      </c>
      <c r="AK40" s="9">
        <v>25</v>
      </c>
      <c r="AL40" s="16">
        <v>152.79</v>
      </c>
      <c r="AM40" s="9">
        <v>33</v>
      </c>
    </row>
    <row r="41" spans="1:39" ht="19.95" customHeight="1" x14ac:dyDescent="0.3">
      <c r="A41" s="4" t="s">
        <v>132</v>
      </c>
      <c r="B41" s="15">
        <f>INDEX($AI$2:$AM$53,MATCH($B$39,$AI$2:$AI$53),3)</f>
        <v>25</v>
      </c>
      <c r="K41" s="78" t="s">
        <v>329</v>
      </c>
      <c r="L41" s="79">
        <v>20</v>
      </c>
      <c r="M41" s="79">
        <v>20</v>
      </c>
      <c r="N41" s="80">
        <v>3.5</v>
      </c>
      <c r="O41" s="79">
        <v>1633</v>
      </c>
      <c r="P41" s="79">
        <v>1918</v>
      </c>
      <c r="Q41" s="79"/>
      <c r="R41" s="79">
        <v>57</v>
      </c>
      <c r="S41" s="78" t="s">
        <v>318</v>
      </c>
      <c r="T41" s="89" t="s">
        <v>518</v>
      </c>
      <c r="U41" s="9" t="s">
        <v>510</v>
      </c>
      <c r="V41" s="85">
        <v>0.1</v>
      </c>
      <c r="W41" s="86">
        <v>3000</v>
      </c>
      <c r="X41" s="88">
        <v>0.32</v>
      </c>
      <c r="Y41" s="85">
        <v>0.8</v>
      </c>
      <c r="Z41" s="86">
        <v>6900</v>
      </c>
      <c r="AA41" s="88">
        <v>0.95</v>
      </c>
      <c r="AB41" s="38">
        <v>2.5</v>
      </c>
      <c r="AC41" s="85">
        <v>0.74</v>
      </c>
      <c r="AD41" s="87">
        <v>8</v>
      </c>
      <c r="AE41" s="88">
        <v>21.5</v>
      </c>
      <c r="AF41" s="78" t="s">
        <v>489</v>
      </c>
      <c r="AI41" s="9" t="s">
        <v>146</v>
      </c>
      <c r="AJ41" s="9">
        <v>60</v>
      </c>
      <c r="AK41" s="9">
        <v>30</v>
      </c>
      <c r="AL41" s="16">
        <v>152.79</v>
      </c>
      <c r="AM41" s="9">
        <v>38</v>
      </c>
    </row>
    <row r="42" spans="1:39" ht="19.95" customHeight="1" x14ac:dyDescent="0.3">
      <c r="A42" s="4" t="s">
        <v>145</v>
      </c>
      <c r="B42" s="16">
        <f>INDEX($AI$2:$AM$53,MATCH($B$39,$AI$2:$AI$53),4)</f>
        <v>81.489999999999995</v>
      </c>
      <c r="C42" s="9" t="s">
        <v>19</v>
      </c>
      <c r="K42" s="78" t="s">
        <v>330</v>
      </c>
      <c r="L42" s="79">
        <v>25</v>
      </c>
      <c r="M42" s="79">
        <v>5</v>
      </c>
      <c r="N42" s="80">
        <v>3</v>
      </c>
      <c r="O42" s="79">
        <v>1949</v>
      </c>
      <c r="P42" s="79">
        <v>2776</v>
      </c>
      <c r="Q42" s="79"/>
      <c r="R42" s="79">
        <v>45</v>
      </c>
      <c r="S42" s="78" t="s">
        <v>318</v>
      </c>
      <c r="T42" s="89" t="s">
        <v>519</v>
      </c>
      <c r="U42" s="9" t="s">
        <v>513</v>
      </c>
      <c r="V42" s="85">
        <v>0.2</v>
      </c>
      <c r="W42" s="86">
        <v>3000</v>
      </c>
      <c r="X42" s="88">
        <v>0.64</v>
      </c>
      <c r="Y42" s="85">
        <v>1.4</v>
      </c>
      <c r="Z42" s="86">
        <v>6900</v>
      </c>
      <c r="AA42" s="88">
        <v>1.9</v>
      </c>
      <c r="AB42" s="38">
        <v>5.3</v>
      </c>
      <c r="AC42" s="85">
        <v>1.3</v>
      </c>
      <c r="AD42" s="87">
        <v>14</v>
      </c>
      <c r="AE42" s="88">
        <v>26</v>
      </c>
      <c r="AF42" s="78" t="s">
        <v>489</v>
      </c>
      <c r="AI42" s="9" t="s">
        <v>143</v>
      </c>
      <c r="AJ42" s="9">
        <v>24</v>
      </c>
      <c r="AK42" s="9">
        <v>33</v>
      </c>
      <c r="AL42" s="9">
        <v>61.12</v>
      </c>
      <c r="AM42" s="9">
        <v>33</v>
      </c>
    </row>
    <row r="43" spans="1:39" ht="19.95" customHeight="1" x14ac:dyDescent="0.3">
      <c r="A43" s="4" t="s">
        <v>142</v>
      </c>
      <c r="B43" s="15">
        <f>INDEX($AI$2:$AM$53,MATCH($B$39,$AI$2:$AI$53),5)</f>
        <v>33</v>
      </c>
      <c r="C43" s="9" t="s">
        <v>19</v>
      </c>
      <c r="K43" s="78" t="s">
        <v>331</v>
      </c>
      <c r="L43" s="79">
        <v>25</v>
      </c>
      <c r="M43" s="79">
        <v>10</v>
      </c>
      <c r="N43" s="80">
        <v>3</v>
      </c>
      <c r="O43" s="79">
        <v>1918</v>
      </c>
      <c r="P43" s="79">
        <v>2755</v>
      </c>
      <c r="Q43" s="79"/>
      <c r="R43" s="79">
        <v>64</v>
      </c>
      <c r="S43" s="78" t="s">
        <v>318</v>
      </c>
      <c r="T43" s="89" t="s">
        <v>520</v>
      </c>
      <c r="U43" s="9" t="s">
        <v>515</v>
      </c>
      <c r="V43" s="85">
        <v>0.4</v>
      </c>
      <c r="W43" s="86">
        <v>3000</v>
      </c>
      <c r="X43" s="88">
        <v>1.3</v>
      </c>
      <c r="Y43" s="85">
        <v>2.6</v>
      </c>
      <c r="Z43" s="86">
        <v>6900</v>
      </c>
      <c r="AA43" s="88">
        <v>3.8</v>
      </c>
      <c r="AB43" s="38">
        <v>9</v>
      </c>
      <c r="AC43" s="85">
        <v>1.8</v>
      </c>
      <c r="AD43" s="87">
        <v>14</v>
      </c>
      <c r="AE43" s="88">
        <v>26</v>
      </c>
      <c r="AF43" s="78" t="s">
        <v>489</v>
      </c>
      <c r="AI43" s="9" t="s">
        <v>140</v>
      </c>
      <c r="AJ43" s="9">
        <v>30</v>
      </c>
      <c r="AK43" s="9">
        <v>32</v>
      </c>
      <c r="AL43" s="9">
        <v>75.010000000000005</v>
      </c>
      <c r="AM43" s="9">
        <v>33</v>
      </c>
    </row>
    <row r="44" spans="1:39" ht="19.95" customHeight="1" x14ac:dyDescent="0.3">
      <c r="A44" s="4"/>
      <c r="B44" s="12"/>
      <c r="K44" s="78" t="s">
        <v>332</v>
      </c>
      <c r="L44" s="79">
        <v>25</v>
      </c>
      <c r="M44" s="79">
        <v>10</v>
      </c>
      <c r="N44" s="80">
        <v>3.5</v>
      </c>
      <c r="O44" s="79">
        <v>1235</v>
      </c>
      <c r="P44" s="79">
        <v>1541</v>
      </c>
      <c r="Q44" s="79"/>
      <c r="R44" s="79">
        <v>70</v>
      </c>
      <c r="S44" s="78" t="s">
        <v>318</v>
      </c>
      <c r="T44" s="89" t="s">
        <v>521</v>
      </c>
      <c r="U44" s="9" t="s">
        <v>505</v>
      </c>
      <c r="V44" s="85">
        <v>0.75</v>
      </c>
      <c r="W44" s="86">
        <v>3000</v>
      </c>
      <c r="X44" s="88">
        <v>2.4</v>
      </c>
      <c r="Y44" s="85">
        <v>6</v>
      </c>
      <c r="Z44" s="86">
        <v>6900</v>
      </c>
      <c r="AA44" s="88">
        <v>7.2</v>
      </c>
      <c r="AB44" s="38">
        <v>20</v>
      </c>
      <c r="AC44" s="85">
        <v>3.8</v>
      </c>
      <c r="AD44" s="87">
        <v>19</v>
      </c>
      <c r="AE44" s="88">
        <v>36</v>
      </c>
      <c r="AF44" s="78" t="s">
        <v>489</v>
      </c>
      <c r="AI44" s="9" t="s">
        <v>138</v>
      </c>
      <c r="AJ44" s="9">
        <v>48</v>
      </c>
      <c r="AK44" s="9">
        <v>33</v>
      </c>
      <c r="AL44" s="9">
        <v>122.23</v>
      </c>
      <c r="AM44" s="9">
        <v>33</v>
      </c>
    </row>
    <row r="45" spans="1:39" ht="19.95" customHeight="1" x14ac:dyDescent="0.3">
      <c r="A45" s="47" t="s">
        <v>137</v>
      </c>
      <c r="B45" s="46" t="s">
        <v>285</v>
      </c>
      <c r="K45" s="78" t="s">
        <v>333</v>
      </c>
      <c r="L45" s="79">
        <v>32</v>
      </c>
      <c r="M45" s="79">
        <v>5</v>
      </c>
      <c r="N45" s="80">
        <v>3.5</v>
      </c>
      <c r="O45" s="79">
        <v>2643</v>
      </c>
      <c r="P45" s="79">
        <v>4082</v>
      </c>
      <c r="Q45" s="79"/>
      <c r="R45" s="79">
        <v>48</v>
      </c>
      <c r="S45" s="78" t="s">
        <v>318</v>
      </c>
      <c r="T45" s="89" t="s">
        <v>522</v>
      </c>
      <c r="U45" s="9" t="s">
        <v>492</v>
      </c>
      <c r="V45" s="85">
        <v>1</v>
      </c>
      <c r="W45" s="86">
        <v>2000</v>
      </c>
      <c r="X45" s="88">
        <v>4.8</v>
      </c>
      <c r="Y45" s="85">
        <v>5.6</v>
      </c>
      <c r="Z45" s="86">
        <v>3000</v>
      </c>
      <c r="AA45" s="88">
        <v>14.3</v>
      </c>
      <c r="AB45" s="38">
        <v>17</v>
      </c>
      <c r="AC45" s="85">
        <v>6.2</v>
      </c>
      <c r="AD45" s="87">
        <v>24</v>
      </c>
      <c r="AE45" s="88">
        <v>50</v>
      </c>
      <c r="AF45" s="78" t="s">
        <v>489</v>
      </c>
      <c r="AI45" s="9" t="s">
        <v>135</v>
      </c>
      <c r="AJ45" s="9">
        <v>60</v>
      </c>
      <c r="AK45" s="9">
        <v>32</v>
      </c>
      <c r="AL45" s="9">
        <v>151.41</v>
      </c>
      <c r="AM45" s="9">
        <v>33</v>
      </c>
    </row>
    <row r="46" spans="1:39" ht="19.95" customHeight="1" x14ac:dyDescent="0.3">
      <c r="A46" s="4" t="s">
        <v>6</v>
      </c>
      <c r="B46" s="12">
        <f>INDEX($AI$2:$AM$53,MATCH($B$45,$AI$2:$AI$53),2)</f>
        <v>48</v>
      </c>
      <c r="K46" s="78" t="s">
        <v>334</v>
      </c>
      <c r="L46" s="79">
        <v>32</v>
      </c>
      <c r="M46" s="79">
        <v>10</v>
      </c>
      <c r="N46" s="80">
        <v>3.9689999999999999</v>
      </c>
      <c r="O46" s="79">
        <v>3878</v>
      </c>
      <c r="P46" s="79">
        <v>5949</v>
      </c>
      <c r="Q46" s="79"/>
      <c r="R46" s="79">
        <v>77</v>
      </c>
      <c r="S46" s="78" t="s">
        <v>318</v>
      </c>
      <c r="T46" s="89" t="s">
        <v>523</v>
      </c>
      <c r="U46" s="9" t="s">
        <v>494</v>
      </c>
      <c r="V46" s="85">
        <v>1.2</v>
      </c>
      <c r="W46" s="86">
        <v>1000</v>
      </c>
      <c r="X46" s="88">
        <v>11.5</v>
      </c>
      <c r="Y46" s="85">
        <v>7.1</v>
      </c>
      <c r="Z46" s="86">
        <v>1500</v>
      </c>
      <c r="AA46" s="88">
        <v>34.4</v>
      </c>
      <c r="AB46" s="38">
        <v>22.7</v>
      </c>
      <c r="AC46" s="85">
        <v>17</v>
      </c>
      <c r="AD46" s="87">
        <v>35</v>
      </c>
      <c r="AE46" s="88">
        <v>75</v>
      </c>
      <c r="AF46" s="78" t="s">
        <v>489</v>
      </c>
      <c r="AI46" s="9" t="s">
        <v>133</v>
      </c>
      <c r="AJ46" s="9">
        <v>30</v>
      </c>
      <c r="AK46" s="9">
        <v>16</v>
      </c>
      <c r="AL46" s="9">
        <v>76.400000000000006</v>
      </c>
      <c r="AM46" s="9">
        <v>33</v>
      </c>
    </row>
    <row r="47" spans="1:39" ht="19.95" customHeight="1" x14ac:dyDescent="0.3">
      <c r="A47" s="4" t="s">
        <v>132</v>
      </c>
      <c r="B47" s="12">
        <f>INDEX($AI$2:$AM$53,MATCH($B$45,$AI$2:$AI$53),3)</f>
        <v>25</v>
      </c>
      <c r="K47" s="78" t="s">
        <v>335</v>
      </c>
      <c r="L47" s="79">
        <v>32</v>
      </c>
      <c r="M47" s="79">
        <v>20</v>
      </c>
      <c r="N47" s="80">
        <v>3.9689999999999999</v>
      </c>
      <c r="O47" s="79">
        <v>1653</v>
      </c>
      <c r="P47" s="79">
        <v>2224</v>
      </c>
      <c r="Q47" s="79"/>
      <c r="R47" s="79">
        <v>64</v>
      </c>
      <c r="S47" s="78" t="s">
        <v>318</v>
      </c>
      <c r="T47" s="89" t="s">
        <v>524</v>
      </c>
      <c r="U47" s="9" t="s">
        <v>494</v>
      </c>
      <c r="V47" s="85">
        <v>1.5</v>
      </c>
      <c r="W47" s="86">
        <v>2000</v>
      </c>
      <c r="X47" s="85">
        <v>7.2</v>
      </c>
      <c r="Y47" s="85">
        <v>9.4</v>
      </c>
      <c r="Z47" s="86">
        <v>3000</v>
      </c>
      <c r="AA47" s="85">
        <v>21.5</v>
      </c>
      <c r="AB47" s="38">
        <v>29</v>
      </c>
      <c r="AC47" s="85">
        <v>7.3</v>
      </c>
      <c r="AD47" s="87">
        <v>24</v>
      </c>
      <c r="AE47" s="88">
        <v>50</v>
      </c>
      <c r="AF47" s="78" t="s">
        <v>489</v>
      </c>
      <c r="AI47" s="9" t="s">
        <v>130</v>
      </c>
      <c r="AJ47" s="9">
        <v>34</v>
      </c>
      <c r="AK47" s="9">
        <v>16</v>
      </c>
      <c r="AL47" s="9">
        <v>86.6</v>
      </c>
      <c r="AM47" s="9">
        <v>28.1</v>
      </c>
    </row>
    <row r="48" spans="1:39" ht="19.95" customHeight="1" x14ac:dyDescent="0.3">
      <c r="A48" s="4" t="s">
        <v>129</v>
      </c>
      <c r="B48" s="12">
        <f>INDEX($AI$2:$AM$53,MATCH($B$45,$AI$2:$AI$53),4)</f>
        <v>122.23</v>
      </c>
      <c r="C48" s="9" t="s">
        <v>19</v>
      </c>
      <c r="K48" s="78" t="s">
        <v>336</v>
      </c>
      <c r="L48" s="79">
        <v>32</v>
      </c>
      <c r="M48" s="79">
        <v>32</v>
      </c>
      <c r="N48" s="80">
        <v>3.9689999999999999</v>
      </c>
      <c r="O48" s="79">
        <v>1643</v>
      </c>
      <c r="P48" s="79">
        <v>2245</v>
      </c>
      <c r="Q48" s="79"/>
      <c r="R48" s="79">
        <v>88</v>
      </c>
      <c r="S48" s="78" t="s">
        <v>318</v>
      </c>
      <c r="T48" s="89" t="s">
        <v>525</v>
      </c>
      <c r="U48" s="9" t="s">
        <v>494</v>
      </c>
      <c r="V48" s="85">
        <v>2</v>
      </c>
      <c r="W48" s="86">
        <v>1000</v>
      </c>
      <c r="X48" s="85">
        <v>19.100000000000001</v>
      </c>
      <c r="Y48" s="85">
        <v>9.4</v>
      </c>
      <c r="Z48" s="86">
        <v>1500</v>
      </c>
      <c r="AA48" s="85">
        <v>57.3</v>
      </c>
      <c r="AB48" s="38">
        <v>30.1</v>
      </c>
      <c r="AC48" s="85">
        <v>22</v>
      </c>
      <c r="AD48" s="87">
        <v>35</v>
      </c>
      <c r="AE48" s="88">
        <v>75</v>
      </c>
      <c r="AF48" s="78" t="s">
        <v>489</v>
      </c>
      <c r="AI48" s="9" t="s">
        <v>127</v>
      </c>
      <c r="AJ48" s="9">
        <v>36</v>
      </c>
      <c r="AK48" s="9">
        <v>16</v>
      </c>
      <c r="AL48" s="9">
        <v>91.7</v>
      </c>
      <c r="AM48" s="9">
        <v>33</v>
      </c>
    </row>
    <row r="49" spans="1:39" ht="19.95" customHeight="1" x14ac:dyDescent="0.3">
      <c r="A49" s="4" t="s">
        <v>126</v>
      </c>
      <c r="B49" s="12">
        <f>INDEX($AI$2:$AM$53,MATCH($B$45,$AI$2:$AI$53),5)</f>
        <v>33</v>
      </c>
      <c r="C49" s="9" t="s">
        <v>19</v>
      </c>
      <c r="K49" s="78" t="s">
        <v>337</v>
      </c>
      <c r="L49" s="79">
        <v>40</v>
      </c>
      <c r="M49" s="79">
        <v>5</v>
      </c>
      <c r="N49" s="80">
        <v>3.5</v>
      </c>
      <c r="O49" s="79">
        <v>3561</v>
      </c>
      <c r="P49" s="79">
        <v>6541</v>
      </c>
      <c r="Q49" s="79"/>
      <c r="R49" s="79">
        <v>54</v>
      </c>
      <c r="S49" s="78" t="s">
        <v>318</v>
      </c>
      <c r="T49" s="89" t="s">
        <v>526</v>
      </c>
      <c r="U49" s="9" t="s">
        <v>494</v>
      </c>
      <c r="V49" s="85">
        <v>2</v>
      </c>
      <c r="W49" s="86">
        <v>2000</v>
      </c>
      <c r="X49" s="85">
        <v>9.5</v>
      </c>
      <c r="Y49" s="85">
        <v>9.6</v>
      </c>
      <c r="Z49" s="86">
        <v>3000</v>
      </c>
      <c r="AA49" s="85">
        <v>28.6</v>
      </c>
      <c r="AB49" s="38">
        <v>31</v>
      </c>
      <c r="AC49" s="85">
        <v>11</v>
      </c>
      <c r="AD49" s="87">
        <v>35</v>
      </c>
      <c r="AE49" s="88">
        <v>75</v>
      </c>
      <c r="AF49" s="78" t="s">
        <v>485</v>
      </c>
      <c r="AI49" s="9" t="s">
        <v>124</v>
      </c>
      <c r="AJ49" s="9">
        <v>38</v>
      </c>
      <c r="AK49" s="9">
        <v>16</v>
      </c>
      <c r="AL49" s="9">
        <v>96.8</v>
      </c>
      <c r="AM49" s="9">
        <v>33</v>
      </c>
    </row>
    <row r="50" spans="1:39" ht="19.95" customHeight="1" x14ac:dyDescent="0.3">
      <c r="A50" s="4"/>
      <c r="B50" s="12"/>
      <c r="K50" s="78" t="s">
        <v>338</v>
      </c>
      <c r="L50" s="79">
        <v>40</v>
      </c>
      <c r="M50" s="79">
        <v>10</v>
      </c>
      <c r="N50" s="80">
        <v>6</v>
      </c>
      <c r="O50" s="79">
        <v>6122</v>
      </c>
      <c r="P50" s="79">
        <v>8816</v>
      </c>
      <c r="Q50" s="79"/>
      <c r="R50" s="79">
        <v>70</v>
      </c>
      <c r="S50" s="78" t="s">
        <v>318</v>
      </c>
      <c r="T50" s="89" t="s">
        <v>527</v>
      </c>
      <c r="U50" s="9" t="s">
        <v>497</v>
      </c>
      <c r="V50" s="85">
        <v>3</v>
      </c>
      <c r="W50" s="86">
        <v>1000</v>
      </c>
      <c r="X50" s="85">
        <v>28.6</v>
      </c>
      <c r="Y50" s="85">
        <v>13</v>
      </c>
      <c r="Z50" s="86">
        <v>1500</v>
      </c>
      <c r="AA50" s="85">
        <v>85.9</v>
      </c>
      <c r="AB50" s="38">
        <v>41.6</v>
      </c>
      <c r="AC50" s="85">
        <v>26</v>
      </c>
      <c r="AD50" s="87">
        <v>35</v>
      </c>
      <c r="AE50" s="88">
        <v>75</v>
      </c>
      <c r="AF50" s="78" t="s">
        <v>485</v>
      </c>
      <c r="AI50" s="9" t="s">
        <v>122</v>
      </c>
      <c r="AJ50" s="9">
        <v>44</v>
      </c>
      <c r="AK50" s="9">
        <v>16</v>
      </c>
      <c r="AL50" s="9">
        <v>112</v>
      </c>
      <c r="AM50" s="9">
        <v>33</v>
      </c>
    </row>
    <row r="51" spans="1:39" ht="19.95" customHeight="1" x14ac:dyDescent="0.3">
      <c r="A51" s="5" t="s">
        <v>281</v>
      </c>
      <c r="B51" s="69">
        <f>+B46/B40</f>
        <v>1.5</v>
      </c>
      <c r="D51" s="12"/>
      <c r="K51" s="78" t="s">
        <v>339</v>
      </c>
      <c r="L51" s="79">
        <v>40</v>
      </c>
      <c r="M51" s="79">
        <v>10</v>
      </c>
      <c r="N51" s="80">
        <v>6</v>
      </c>
      <c r="O51" s="79">
        <v>8827</v>
      </c>
      <c r="P51" s="79">
        <v>13490</v>
      </c>
      <c r="Q51" s="79"/>
      <c r="R51" s="79">
        <v>90</v>
      </c>
      <c r="S51" s="78" t="s">
        <v>318</v>
      </c>
      <c r="T51" s="89" t="s">
        <v>528</v>
      </c>
      <c r="U51" s="9" t="s">
        <v>497</v>
      </c>
      <c r="V51" s="85">
        <v>3.5</v>
      </c>
      <c r="W51" s="86">
        <v>2000</v>
      </c>
      <c r="X51" s="85">
        <v>16.7</v>
      </c>
      <c r="Y51" s="85">
        <v>14</v>
      </c>
      <c r="Z51" s="86">
        <v>3000</v>
      </c>
      <c r="AA51" s="85">
        <v>50.1</v>
      </c>
      <c r="AB51" s="38">
        <v>45</v>
      </c>
      <c r="AC51" s="85">
        <v>16</v>
      </c>
      <c r="AD51" s="87">
        <v>35</v>
      </c>
      <c r="AE51" s="88">
        <v>75</v>
      </c>
      <c r="AF51" s="78" t="s">
        <v>485</v>
      </c>
      <c r="AI51" s="9" t="s">
        <v>120</v>
      </c>
      <c r="AJ51" s="9">
        <v>50</v>
      </c>
      <c r="AK51" s="9">
        <v>16</v>
      </c>
      <c r="AL51" s="9">
        <v>127.3</v>
      </c>
      <c r="AM51" s="9">
        <v>33</v>
      </c>
    </row>
    <row r="52" spans="1:39" ht="19.95" customHeight="1" x14ac:dyDescent="0.25">
      <c r="A52" s="5"/>
      <c r="B52" s="69"/>
      <c r="D52" s="12"/>
      <c r="K52" s="78" t="s">
        <v>340</v>
      </c>
      <c r="L52" s="79">
        <v>40</v>
      </c>
      <c r="M52" s="79">
        <v>20</v>
      </c>
      <c r="N52" s="80">
        <v>6</v>
      </c>
      <c r="O52" s="79">
        <v>4643</v>
      </c>
      <c r="P52" s="79">
        <v>6408</v>
      </c>
      <c r="Q52" s="79"/>
      <c r="R52" s="79">
        <v>88</v>
      </c>
      <c r="S52" s="78" t="s">
        <v>318</v>
      </c>
      <c r="T52" s="89" t="s">
        <v>529</v>
      </c>
      <c r="U52" s="9" t="s">
        <v>499</v>
      </c>
      <c r="V52" s="85">
        <v>4.2</v>
      </c>
      <c r="W52" s="86">
        <v>1000</v>
      </c>
      <c r="X52" s="85">
        <v>40.1</v>
      </c>
      <c r="Y52" s="85">
        <v>19</v>
      </c>
      <c r="Z52" s="86">
        <v>1500</v>
      </c>
      <c r="AA52" s="85">
        <v>120</v>
      </c>
      <c r="AB52" s="38">
        <v>60.8</v>
      </c>
      <c r="AC52" s="85">
        <v>33</v>
      </c>
      <c r="AD52" s="87">
        <v>35</v>
      </c>
      <c r="AE52" s="88">
        <v>75</v>
      </c>
      <c r="AF52" s="78" t="s">
        <v>485</v>
      </c>
      <c r="AI52" s="9" t="s">
        <v>118</v>
      </c>
      <c r="AJ52" s="9">
        <v>52</v>
      </c>
      <c r="AK52" s="9">
        <v>16</v>
      </c>
      <c r="AL52" s="9">
        <v>132.4</v>
      </c>
      <c r="AM52" s="9">
        <v>33</v>
      </c>
    </row>
    <row r="53" spans="1:39" ht="19.95" customHeight="1" x14ac:dyDescent="0.25">
      <c r="A53" s="5"/>
      <c r="B53" s="69"/>
      <c r="D53" s="12"/>
      <c r="K53" s="78" t="s">
        <v>341</v>
      </c>
      <c r="L53" s="79">
        <v>40</v>
      </c>
      <c r="M53" s="79">
        <v>40</v>
      </c>
      <c r="N53" s="80">
        <v>6</v>
      </c>
      <c r="O53" s="79">
        <v>3122</v>
      </c>
      <c r="P53" s="79">
        <v>4112</v>
      </c>
      <c r="Q53" s="79"/>
      <c r="R53" s="79">
        <v>102</v>
      </c>
      <c r="S53" s="78" t="s">
        <v>318</v>
      </c>
      <c r="T53" s="89" t="s">
        <v>530</v>
      </c>
      <c r="U53" s="9" t="s">
        <v>499</v>
      </c>
      <c r="V53" s="85">
        <v>5</v>
      </c>
      <c r="W53" s="86">
        <v>2000</v>
      </c>
      <c r="X53" s="85">
        <v>23.9</v>
      </c>
      <c r="Y53" s="85">
        <v>22</v>
      </c>
      <c r="Z53" s="86">
        <v>3000</v>
      </c>
      <c r="AA53" s="85">
        <v>71.599999999999994</v>
      </c>
      <c r="AB53" s="38">
        <v>70</v>
      </c>
      <c r="AC53" s="85">
        <v>20</v>
      </c>
      <c r="AD53" s="87">
        <v>35</v>
      </c>
      <c r="AE53" s="88">
        <v>75</v>
      </c>
      <c r="AF53" s="78" t="s">
        <v>485</v>
      </c>
      <c r="AI53" s="9" t="s">
        <v>115</v>
      </c>
      <c r="AJ53" s="9">
        <v>56</v>
      </c>
      <c r="AK53" s="9">
        <v>16</v>
      </c>
      <c r="AL53" s="9">
        <v>142.6</v>
      </c>
      <c r="AM53" s="9">
        <v>33</v>
      </c>
    </row>
    <row r="54" spans="1:39" ht="19.95" customHeight="1" x14ac:dyDescent="0.25">
      <c r="A54" s="5"/>
      <c r="B54" s="69"/>
      <c r="D54" s="12"/>
      <c r="K54" s="78" t="s">
        <v>342</v>
      </c>
      <c r="L54" s="79">
        <v>50</v>
      </c>
      <c r="M54" s="79">
        <v>5</v>
      </c>
      <c r="N54" s="80">
        <v>3.5</v>
      </c>
      <c r="O54" s="79">
        <v>3918</v>
      </c>
      <c r="P54" s="79">
        <v>8296</v>
      </c>
      <c r="Q54" s="79"/>
      <c r="R54" s="79">
        <v>54</v>
      </c>
      <c r="S54" s="78" t="s">
        <v>318</v>
      </c>
      <c r="T54" s="89" t="s">
        <v>531</v>
      </c>
      <c r="U54" s="9" t="s">
        <v>501</v>
      </c>
      <c r="V54" s="85">
        <v>0.5</v>
      </c>
      <c r="W54" s="86">
        <v>1000</v>
      </c>
      <c r="X54" s="85">
        <v>4.8</v>
      </c>
      <c r="Y54" s="85">
        <v>2.8</v>
      </c>
      <c r="Z54" s="86">
        <v>1500</v>
      </c>
      <c r="AA54" s="85">
        <v>14.3</v>
      </c>
      <c r="AB54" s="38">
        <v>9</v>
      </c>
      <c r="AC54" s="85">
        <v>8.1999999999999993</v>
      </c>
      <c r="AD54" s="87">
        <v>24</v>
      </c>
      <c r="AE54" s="88">
        <v>50</v>
      </c>
      <c r="AF54" s="78" t="s">
        <v>485</v>
      </c>
    </row>
    <row r="55" spans="1:39" ht="19.95" customHeight="1" x14ac:dyDescent="0.3">
      <c r="A55" s="17" t="s">
        <v>588</v>
      </c>
      <c r="B55" s="14">
        <v>9810</v>
      </c>
      <c r="C55" s="17" t="s">
        <v>26</v>
      </c>
      <c r="D55" s="9">
        <f>+B55/1000</f>
        <v>9.81</v>
      </c>
      <c r="E55" s="17" t="s">
        <v>25</v>
      </c>
      <c r="K55" s="78" t="s">
        <v>343</v>
      </c>
      <c r="L55" s="79">
        <v>50</v>
      </c>
      <c r="M55" s="79">
        <v>10</v>
      </c>
      <c r="N55" s="80">
        <v>6</v>
      </c>
      <c r="O55" s="79">
        <v>9755</v>
      </c>
      <c r="P55" s="79">
        <v>16990</v>
      </c>
      <c r="Q55" s="79"/>
      <c r="R55" s="79">
        <v>90</v>
      </c>
      <c r="S55" s="78" t="s">
        <v>318</v>
      </c>
      <c r="T55" s="89" t="s">
        <v>532</v>
      </c>
      <c r="U55" s="9" t="s">
        <v>501</v>
      </c>
      <c r="V55" s="85">
        <v>0.5</v>
      </c>
      <c r="W55" s="86">
        <v>2000</v>
      </c>
      <c r="X55" s="85">
        <v>2.4</v>
      </c>
      <c r="Y55" s="85">
        <v>2.9</v>
      </c>
      <c r="Z55" s="86">
        <v>3000</v>
      </c>
      <c r="AA55" s="85">
        <v>7.2</v>
      </c>
      <c r="AB55" s="38">
        <v>9</v>
      </c>
      <c r="AC55" s="85">
        <v>4.8</v>
      </c>
      <c r="AD55" s="87">
        <v>24</v>
      </c>
      <c r="AE55" s="88">
        <v>50</v>
      </c>
      <c r="AF55" s="78" t="s">
        <v>485</v>
      </c>
    </row>
    <row r="56" spans="1:39" ht="19.95" customHeight="1" x14ac:dyDescent="0.3">
      <c r="A56" s="4" t="s">
        <v>117</v>
      </c>
      <c r="B56" s="16">
        <f>+B3/B9</f>
        <v>20</v>
      </c>
      <c r="C56" s="9" t="s">
        <v>2</v>
      </c>
      <c r="K56" s="78" t="s">
        <v>344</v>
      </c>
      <c r="L56" s="79">
        <v>50</v>
      </c>
      <c r="M56" s="79">
        <v>16</v>
      </c>
      <c r="N56" s="80">
        <v>6</v>
      </c>
      <c r="O56" s="79">
        <v>9724</v>
      </c>
      <c r="P56" s="79">
        <v>16939</v>
      </c>
      <c r="Q56" s="79"/>
      <c r="R56" s="79">
        <v>128</v>
      </c>
      <c r="S56" s="78" t="s">
        <v>318</v>
      </c>
      <c r="T56" s="89" t="s">
        <v>533</v>
      </c>
      <c r="U56" s="9" t="s">
        <v>503</v>
      </c>
      <c r="V56" s="85">
        <v>7</v>
      </c>
      <c r="W56" s="86">
        <v>2000</v>
      </c>
      <c r="X56" s="85">
        <v>33.4</v>
      </c>
      <c r="Y56" s="85">
        <v>26</v>
      </c>
      <c r="Z56" s="86">
        <v>3000</v>
      </c>
      <c r="AA56" s="85">
        <v>100</v>
      </c>
      <c r="AB56" s="38">
        <v>83</v>
      </c>
      <c r="AC56" s="85">
        <v>27</v>
      </c>
      <c r="AD56" s="87">
        <v>35</v>
      </c>
      <c r="AE56" s="88">
        <v>75</v>
      </c>
      <c r="AF56" s="78" t="s">
        <v>485</v>
      </c>
    </row>
    <row r="57" spans="1:39" ht="19.95" customHeight="1" x14ac:dyDescent="0.3">
      <c r="A57" s="9" t="s">
        <v>577</v>
      </c>
      <c r="B57" s="14">
        <f>+B31*B9/B51</f>
        <v>13333.333333333334</v>
      </c>
      <c r="C57" s="9" t="s">
        <v>111</v>
      </c>
      <c r="D57" s="45">
        <f>+B57/1000</f>
        <v>13.333333333333334</v>
      </c>
      <c r="E57" s="9" t="s">
        <v>110</v>
      </c>
      <c r="F57" s="16">
        <f>+ROUND(B57/60,2)</f>
        <v>222.22</v>
      </c>
      <c r="G57" s="9" t="s">
        <v>109</v>
      </c>
      <c r="K57" s="78" t="s">
        <v>345</v>
      </c>
      <c r="L57" s="79">
        <v>50</v>
      </c>
      <c r="M57" s="79">
        <v>20</v>
      </c>
      <c r="N57" s="80">
        <v>6.5</v>
      </c>
      <c r="O57" s="79">
        <v>5867</v>
      </c>
      <c r="P57" s="79">
        <v>8969</v>
      </c>
      <c r="Q57" s="79"/>
      <c r="R57" s="79">
        <v>92</v>
      </c>
      <c r="S57" s="78" t="s">
        <v>318</v>
      </c>
      <c r="T57" s="89" t="s">
        <v>534</v>
      </c>
      <c r="U57" s="9" t="s">
        <v>492</v>
      </c>
      <c r="V57" s="85">
        <v>0.85</v>
      </c>
      <c r="W57" s="86">
        <v>1000</v>
      </c>
      <c r="X57" s="85">
        <v>8.1</v>
      </c>
      <c r="Y57" s="85">
        <v>5.2</v>
      </c>
      <c r="Z57" s="86">
        <v>1500</v>
      </c>
      <c r="AA57" s="85">
        <v>24.4</v>
      </c>
      <c r="AB57" s="38">
        <v>16.600000000000001</v>
      </c>
      <c r="AC57" s="85">
        <v>9.3000000000000007</v>
      </c>
      <c r="AD57" s="87">
        <v>24</v>
      </c>
      <c r="AE57" s="88">
        <v>50</v>
      </c>
      <c r="AF57" s="78" t="s">
        <v>485</v>
      </c>
    </row>
    <row r="58" spans="1:39" ht="19.95" customHeight="1" x14ac:dyDescent="0.3">
      <c r="A58" s="4"/>
      <c r="B58" s="45"/>
      <c r="D58" s="45"/>
      <c r="F58" s="16"/>
      <c r="H58" s="16">
        <f>+ROUND(D58/60,2)</f>
        <v>0</v>
      </c>
      <c r="I58" s="9" t="s">
        <v>108</v>
      </c>
      <c r="K58" s="78" t="s">
        <v>346</v>
      </c>
      <c r="L58" s="79">
        <v>50</v>
      </c>
      <c r="M58" s="79">
        <v>40</v>
      </c>
      <c r="N58" s="80">
        <v>6.5</v>
      </c>
      <c r="O58" s="79">
        <v>3929</v>
      </c>
      <c r="P58" s="79">
        <v>5694</v>
      </c>
      <c r="Q58" s="79"/>
      <c r="R58" s="79">
        <v>109</v>
      </c>
      <c r="S58" s="78" t="s">
        <v>318</v>
      </c>
      <c r="T58" s="89" t="s">
        <v>204</v>
      </c>
      <c r="V58" s="85">
        <v>1.6</v>
      </c>
      <c r="W58" s="86">
        <v>1000</v>
      </c>
      <c r="X58" s="85">
        <v>15.6</v>
      </c>
      <c r="Y58" s="85">
        <v>2.9</v>
      </c>
      <c r="Z58" s="86">
        <v>7000</v>
      </c>
      <c r="AA58" s="85">
        <v>42.1</v>
      </c>
      <c r="AB58" s="38">
        <v>0</v>
      </c>
      <c r="AC58" s="85">
        <v>21</v>
      </c>
      <c r="AD58" s="87">
        <v>24</v>
      </c>
      <c r="AE58" s="88">
        <v>50</v>
      </c>
      <c r="AF58" s="78" t="s">
        <v>485</v>
      </c>
      <c r="AI58" s="10"/>
      <c r="AJ58" s="10"/>
      <c r="AK58" s="10"/>
      <c r="AL58" s="10"/>
      <c r="AM58" s="10"/>
    </row>
    <row r="59" spans="1:39" ht="19.95" customHeight="1" x14ac:dyDescent="0.3">
      <c r="K59" s="78" t="s">
        <v>347</v>
      </c>
      <c r="L59" s="79">
        <v>63</v>
      </c>
      <c r="M59" s="79">
        <v>10</v>
      </c>
      <c r="N59" s="80">
        <v>6</v>
      </c>
      <c r="O59" s="79">
        <v>10878</v>
      </c>
      <c r="P59" s="79">
        <v>21867</v>
      </c>
      <c r="Q59" s="79"/>
      <c r="R59" s="79">
        <v>90</v>
      </c>
      <c r="S59" s="78" t="s">
        <v>318</v>
      </c>
      <c r="T59" s="89" t="s">
        <v>201</v>
      </c>
      <c r="V59" s="85">
        <v>2.5</v>
      </c>
      <c r="W59" s="86">
        <v>1500</v>
      </c>
      <c r="X59" s="85">
        <v>15.6</v>
      </c>
      <c r="Y59" s="85">
        <v>4.3</v>
      </c>
      <c r="Z59" s="86">
        <v>7000</v>
      </c>
      <c r="AA59" s="85">
        <v>42.1</v>
      </c>
      <c r="AB59" s="38">
        <v>0</v>
      </c>
      <c r="AC59" s="85">
        <v>21</v>
      </c>
      <c r="AD59" s="87">
        <v>24</v>
      </c>
      <c r="AE59" s="88">
        <v>50</v>
      </c>
      <c r="AF59" s="78" t="s">
        <v>485</v>
      </c>
      <c r="AG59" s="10"/>
      <c r="AH59" s="10"/>
    </row>
    <row r="60" spans="1:39" ht="19.95" customHeight="1" x14ac:dyDescent="0.3">
      <c r="A60" s="4" t="s">
        <v>105</v>
      </c>
      <c r="B60" s="70">
        <f>+F24*1000/(B31/B51)</f>
        <v>9.9</v>
      </c>
      <c r="C60" s="9" t="s">
        <v>19</v>
      </c>
      <c r="D60" s="4" t="s">
        <v>104</v>
      </c>
      <c r="E60" s="14">
        <f>+B9</f>
        <v>10</v>
      </c>
      <c r="F60" s="9" t="s">
        <v>19</v>
      </c>
      <c r="K60" s="78" t="s">
        <v>348</v>
      </c>
      <c r="L60" s="79">
        <v>63</v>
      </c>
      <c r="M60" s="79">
        <v>20</v>
      </c>
      <c r="N60" s="80">
        <v>6.5</v>
      </c>
      <c r="O60" s="79">
        <v>6510</v>
      </c>
      <c r="P60" s="79">
        <v>11439</v>
      </c>
      <c r="Q60" s="79"/>
      <c r="R60" s="79">
        <v>92</v>
      </c>
      <c r="S60" s="78" t="s">
        <v>318</v>
      </c>
      <c r="T60" s="89" t="s">
        <v>199</v>
      </c>
      <c r="V60" s="85">
        <v>3.3</v>
      </c>
      <c r="W60" s="86">
        <v>2000</v>
      </c>
      <c r="X60" s="85">
        <v>15.6</v>
      </c>
      <c r="Y60" s="85">
        <v>5.7</v>
      </c>
      <c r="Z60" s="86">
        <v>7000</v>
      </c>
      <c r="AA60" s="85">
        <v>42.1</v>
      </c>
      <c r="AB60" s="38">
        <v>0</v>
      </c>
      <c r="AC60" s="85">
        <v>21</v>
      </c>
      <c r="AD60" s="87">
        <v>24</v>
      </c>
      <c r="AE60" s="88">
        <v>50</v>
      </c>
      <c r="AF60" s="78" t="s">
        <v>485</v>
      </c>
    </row>
    <row r="61" spans="1:39" ht="19.95" customHeight="1" x14ac:dyDescent="0.3">
      <c r="A61" s="10"/>
      <c r="B61" s="12"/>
      <c r="E61" s="10"/>
      <c r="F61" s="10"/>
      <c r="G61" s="10"/>
      <c r="H61" s="10"/>
      <c r="I61" s="10"/>
      <c r="J61" s="10"/>
      <c r="K61" s="78" t="s">
        <v>349</v>
      </c>
      <c r="L61" s="79">
        <v>25</v>
      </c>
      <c r="M61" s="79">
        <v>5</v>
      </c>
      <c r="N61" s="80">
        <v>4</v>
      </c>
      <c r="O61" s="79">
        <v>1250</v>
      </c>
      <c r="P61" s="79">
        <v>3070</v>
      </c>
      <c r="Q61" s="79">
        <v>67</v>
      </c>
      <c r="R61" s="79">
        <v>76</v>
      </c>
      <c r="S61" s="78" t="s">
        <v>43</v>
      </c>
      <c r="T61" s="89" t="s">
        <v>195</v>
      </c>
      <c r="V61" s="85">
        <v>4.9000000000000004</v>
      </c>
      <c r="W61" s="86">
        <v>3000</v>
      </c>
      <c r="X61" s="85">
        <v>15.6</v>
      </c>
      <c r="Y61" s="85">
        <v>8.6</v>
      </c>
      <c r="Z61" s="86">
        <v>7000</v>
      </c>
      <c r="AA61" s="85">
        <v>42.1</v>
      </c>
      <c r="AB61" s="38">
        <v>0</v>
      </c>
      <c r="AC61" s="85">
        <v>21</v>
      </c>
      <c r="AD61" s="87">
        <v>24</v>
      </c>
      <c r="AE61" s="88">
        <v>50</v>
      </c>
      <c r="AF61" s="78" t="s">
        <v>485</v>
      </c>
    </row>
    <row r="62" spans="1:39" s="10" customFormat="1" ht="19.95" customHeight="1" x14ac:dyDescent="0.3">
      <c r="A62" s="9"/>
      <c r="B62" s="9"/>
      <c r="C62" s="9"/>
      <c r="D62" s="9"/>
      <c r="E62" s="9"/>
      <c r="F62" s="9"/>
      <c r="G62" s="9"/>
      <c r="H62" s="9"/>
      <c r="I62" s="9"/>
      <c r="J62" s="9"/>
      <c r="K62" s="78" t="s">
        <v>350</v>
      </c>
      <c r="L62" s="79">
        <v>25</v>
      </c>
      <c r="M62" s="79">
        <v>6</v>
      </c>
      <c r="N62" s="80">
        <v>3.9689999999999999</v>
      </c>
      <c r="O62" s="79">
        <v>1275</v>
      </c>
      <c r="P62" s="79">
        <v>2740</v>
      </c>
      <c r="Q62" s="79">
        <v>52</v>
      </c>
      <c r="R62" s="79">
        <v>77</v>
      </c>
      <c r="S62" s="78" t="s">
        <v>43</v>
      </c>
      <c r="T62" s="89" t="s">
        <v>191</v>
      </c>
      <c r="U62" s="9"/>
      <c r="V62" s="85">
        <v>2.5</v>
      </c>
      <c r="W62" s="86">
        <v>1000</v>
      </c>
      <c r="X62" s="85">
        <v>24</v>
      </c>
      <c r="Y62" s="85">
        <v>4.3</v>
      </c>
      <c r="Z62" s="86">
        <v>7000</v>
      </c>
      <c r="AA62" s="85">
        <v>64.8</v>
      </c>
      <c r="AB62" s="38">
        <v>0</v>
      </c>
      <c r="AC62" s="85">
        <v>24</v>
      </c>
      <c r="AD62" s="87">
        <v>24</v>
      </c>
      <c r="AE62" s="88">
        <v>50</v>
      </c>
      <c r="AF62" s="78" t="s">
        <v>485</v>
      </c>
      <c r="AG62" s="9"/>
      <c r="AH62" s="9"/>
      <c r="AI62" s="9"/>
      <c r="AJ62" s="9"/>
      <c r="AK62" s="9"/>
      <c r="AL62" s="9"/>
      <c r="AM62" s="9"/>
    </row>
    <row r="63" spans="1:39" ht="19.95" customHeight="1" x14ac:dyDescent="0.3">
      <c r="K63" s="78" t="s">
        <v>351</v>
      </c>
      <c r="L63" s="79">
        <v>25</v>
      </c>
      <c r="M63" s="79">
        <v>8</v>
      </c>
      <c r="N63" s="80">
        <v>3.9689999999999999</v>
      </c>
      <c r="O63" s="79">
        <v>1275</v>
      </c>
      <c r="P63" s="79">
        <v>2740</v>
      </c>
      <c r="Q63" s="79">
        <v>52</v>
      </c>
      <c r="R63" s="79">
        <v>85</v>
      </c>
      <c r="S63" s="78" t="s">
        <v>43</v>
      </c>
      <c r="T63" s="89" t="s">
        <v>188</v>
      </c>
      <c r="V63" s="85">
        <v>3.8</v>
      </c>
      <c r="W63" s="86">
        <v>1500</v>
      </c>
      <c r="X63" s="85">
        <v>24</v>
      </c>
      <c r="Y63" s="85">
        <v>6.5</v>
      </c>
      <c r="Z63" s="86">
        <v>7000</v>
      </c>
      <c r="AA63" s="85">
        <v>64.8</v>
      </c>
      <c r="AB63" s="38">
        <v>0</v>
      </c>
      <c r="AC63" s="85">
        <v>24</v>
      </c>
      <c r="AD63" s="87">
        <v>24</v>
      </c>
      <c r="AE63" s="88">
        <v>50</v>
      </c>
      <c r="AF63" s="78" t="s">
        <v>485</v>
      </c>
    </row>
    <row r="64" spans="1:39" ht="19.95" customHeight="1" x14ac:dyDescent="0.3">
      <c r="A64" s="44" t="s">
        <v>99</v>
      </c>
      <c r="B64" s="67">
        <f>+D24/$B$9</f>
        <v>22</v>
      </c>
      <c r="C64" s="9" t="s">
        <v>96</v>
      </c>
      <c r="D64" s="43">
        <f>+B64*60</f>
        <v>1320</v>
      </c>
      <c r="E64" s="9" t="s">
        <v>15</v>
      </c>
      <c r="K64" s="78" t="s">
        <v>352</v>
      </c>
      <c r="L64" s="79">
        <v>25</v>
      </c>
      <c r="M64" s="79">
        <v>10</v>
      </c>
      <c r="N64" s="80">
        <v>4.7619999999999996</v>
      </c>
      <c r="O64" s="79">
        <v>1140</v>
      </c>
      <c r="P64" s="79">
        <v>2140</v>
      </c>
      <c r="Q64" s="79">
        <v>36</v>
      </c>
      <c r="R64" s="79">
        <v>88</v>
      </c>
      <c r="S64" s="78" t="s">
        <v>43</v>
      </c>
      <c r="T64" s="89" t="s">
        <v>186</v>
      </c>
      <c r="V64" s="85">
        <v>5</v>
      </c>
      <c r="W64" s="86">
        <v>2000</v>
      </c>
      <c r="X64" s="85">
        <v>24</v>
      </c>
      <c r="Y64" s="85">
        <v>8.6999999999999993</v>
      </c>
      <c r="Z64" s="86">
        <v>7000</v>
      </c>
      <c r="AA64" s="85">
        <v>64.8</v>
      </c>
      <c r="AB64" s="38">
        <v>0</v>
      </c>
      <c r="AC64" s="85">
        <v>24</v>
      </c>
      <c r="AD64" s="87">
        <v>24</v>
      </c>
      <c r="AE64" s="88">
        <v>50</v>
      </c>
      <c r="AF64" s="78" t="s">
        <v>485</v>
      </c>
    </row>
    <row r="65" spans="1:32" ht="19.95" customHeight="1" x14ac:dyDescent="0.3">
      <c r="A65" s="42" t="s">
        <v>97</v>
      </c>
      <c r="B65" s="68">
        <f>+B64*B51</f>
        <v>33</v>
      </c>
      <c r="C65" s="9" t="s">
        <v>96</v>
      </c>
      <c r="D65" s="41">
        <f>+B65*60</f>
        <v>1980</v>
      </c>
      <c r="E65" s="9" t="s">
        <v>15</v>
      </c>
      <c r="K65" s="78" t="s">
        <v>353</v>
      </c>
      <c r="L65" s="79">
        <v>25</v>
      </c>
      <c r="M65" s="79">
        <v>10</v>
      </c>
      <c r="N65" s="80">
        <v>4.7619999999999996</v>
      </c>
      <c r="O65" s="79">
        <v>1610</v>
      </c>
      <c r="P65" s="79">
        <v>3210</v>
      </c>
      <c r="Q65" s="79">
        <v>53</v>
      </c>
      <c r="R65" s="79">
        <v>102</v>
      </c>
      <c r="S65" s="78" t="s">
        <v>43</v>
      </c>
      <c r="T65" s="89" t="s">
        <v>183</v>
      </c>
      <c r="V65" s="85">
        <v>7.5</v>
      </c>
      <c r="W65" s="86">
        <v>3000</v>
      </c>
      <c r="X65" s="85">
        <v>24</v>
      </c>
      <c r="Y65" s="85">
        <v>13</v>
      </c>
      <c r="Z65" s="86">
        <v>7000</v>
      </c>
      <c r="AA65" s="85">
        <v>64.8</v>
      </c>
      <c r="AB65" s="38">
        <v>0</v>
      </c>
      <c r="AC65" s="85">
        <v>24</v>
      </c>
      <c r="AD65" s="87">
        <v>24</v>
      </c>
      <c r="AE65" s="88">
        <v>50</v>
      </c>
      <c r="AF65" s="78" t="s">
        <v>485</v>
      </c>
    </row>
    <row r="66" spans="1:32" ht="19.95" customHeight="1" x14ac:dyDescent="0.3">
      <c r="K66" s="78" t="s">
        <v>354</v>
      </c>
      <c r="L66" s="79">
        <v>28</v>
      </c>
      <c r="M66" s="79">
        <v>6</v>
      </c>
      <c r="N66" s="80">
        <v>3.1749999999999998</v>
      </c>
      <c r="O66" s="79">
        <v>1030</v>
      </c>
      <c r="P66" s="79">
        <v>2630</v>
      </c>
      <c r="Q66" s="79">
        <v>56</v>
      </c>
      <c r="R66" s="79">
        <v>69</v>
      </c>
      <c r="S66" s="78" t="s">
        <v>43</v>
      </c>
      <c r="T66" s="89" t="s">
        <v>180</v>
      </c>
      <c r="V66" s="85">
        <v>3.4</v>
      </c>
      <c r="W66" s="86">
        <v>1000</v>
      </c>
      <c r="X66" s="85">
        <v>32</v>
      </c>
      <c r="Y66" s="85">
        <v>5.9</v>
      </c>
      <c r="Z66" s="86">
        <v>7000</v>
      </c>
      <c r="AA66" s="85">
        <v>86.4</v>
      </c>
      <c r="AB66" s="38">
        <v>0</v>
      </c>
      <c r="AC66" s="85">
        <v>27</v>
      </c>
      <c r="AD66" s="87">
        <v>24</v>
      </c>
      <c r="AE66" s="88">
        <v>50</v>
      </c>
      <c r="AF66" s="78" t="s">
        <v>485</v>
      </c>
    </row>
    <row r="67" spans="1:32" ht="19.95" customHeight="1" x14ac:dyDescent="0.3">
      <c r="A67" s="4" t="s">
        <v>93</v>
      </c>
      <c r="B67" s="15">
        <v>10</v>
      </c>
      <c r="C67" s="9" t="s">
        <v>38</v>
      </c>
      <c r="K67" s="78" t="s">
        <v>355</v>
      </c>
      <c r="L67" s="79">
        <v>28</v>
      </c>
      <c r="M67" s="79">
        <v>10</v>
      </c>
      <c r="N67" s="80">
        <v>3.1749999999999998</v>
      </c>
      <c r="O67" s="79">
        <v>730</v>
      </c>
      <c r="P67" s="79">
        <v>1750</v>
      </c>
      <c r="Q67" s="79">
        <v>38</v>
      </c>
      <c r="R67" s="79">
        <v>77</v>
      </c>
      <c r="S67" s="78" t="s">
        <v>43</v>
      </c>
      <c r="T67" s="89" t="s">
        <v>177</v>
      </c>
      <c r="V67" s="85">
        <v>5</v>
      </c>
      <c r="W67" s="86">
        <v>1500</v>
      </c>
      <c r="X67" s="85">
        <v>32</v>
      </c>
      <c r="Y67" s="85">
        <v>8.8000000000000007</v>
      </c>
      <c r="Z67" s="86">
        <v>7000</v>
      </c>
      <c r="AA67" s="85">
        <v>86.4</v>
      </c>
      <c r="AB67" s="38">
        <v>0</v>
      </c>
      <c r="AC67" s="85">
        <v>27</v>
      </c>
      <c r="AD67" s="87">
        <v>24</v>
      </c>
      <c r="AE67" s="88">
        <v>50</v>
      </c>
      <c r="AF67" s="78" t="s">
        <v>485</v>
      </c>
    </row>
    <row r="68" spans="1:32" ht="19.95" customHeight="1" x14ac:dyDescent="0.3">
      <c r="A68" s="4" t="s">
        <v>91</v>
      </c>
      <c r="B68" s="15">
        <v>250</v>
      </c>
      <c r="C68" s="9" t="s">
        <v>90</v>
      </c>
      <c r="K68" s="78" t="s">
        <v>356</v>
      </c>
      <c r="L68" s="79">
        <v>32</v>
      </c>
      <c r="M68" s="79">
        <v>6</v>
      </c>
      <c r="N68" s="80">
        <v>3.9689999999999999</v>
      </c>
      <c r="O68" s="79">
        <v>1500</v>
      </c>
      <c r="P68" s="79">
        <v>3750</v>
      </c>
      <c r="Q68" s="79">
        <v>65</v>
      </c>
      <c r="R68" s="79">
        <v>77</v>
      </c>
      <c r="S68" s="78" t="s">
        <v>43</v>
      </c>
      <c r="T68" s="89" t="s">
        <v>175</v>
      </c>
      <c r="V68" s="85">
        <v>6.7</v>
      </c>
      <c r="W68" s="86">
        <v>2000</v>
      </c>
      <c r="X68" s="85">
        <v>32</v>
      </c>
      <c r="Y68" s="85">
        <v>11.7</v>
      </c>
      <c r="Z68" s="86">
        <v>7000</v>
      </c>
      <c r="AA68" s="85">
        <v>86.4</v>
      </c>
      <c r="AB68" s="38">
        <v>0</v>
      </c>
      <c r="AC68" s="85">
        <v>27</v>
      </c>
      <c r="AD68" s="87">
        <v>24</v>
      </c>
      <c r="AE68" s="88">
        <v>50</v>
      </c>
      <c r="AF68" s="78" t="s">
        <v>485</v>
      </c>
    </row>
    <row r="69" spans="1:32" ht="19.95" customHeight="1" x14ac:dyDescent="0.3">
      <c r="A69" s="4" t="s">
        <v>88</v>
      </c>
      <c r="B69" s="15">
        <v>2</v>
      </c>
      <c r="C69" s="9" t="s">
        <v>87</v>
      </c>
      <c r="K69" s="78" t="s">
        <v>357</v>
      </c>
      <c r="L69" s="79">
        <v>32</v>
      </c>
      <c r="M69" s="79">
        <v>6</v>
      </c>
      <c r="N69" s="80">
        <v>3.9689999999999999</v>
      </c>
      <c r="O69" s="79">
        <v>1920</v>
      </c>
      <c r="P69" s="79">
        <v>5000</v>
      </c>
      <c r="Q69" s="79">
        <v>86</v>
      </c>
      <c r="R69" s="79">
        <v>90</v>
      </c>
      <c r="S69" s="78" t="s">
        <v>43</v>
      </c>
      <c r="T69" s="89" t="s">
        <v>172</v>
      </c>
      <c r="V69" s="85">
        <v>10.1</v>
      </c>
      <c r="W69" s="86">
        <v>3000</v>
      </c>
      <c r="X69" s="85">
        <v>32</v>
      </c>
      <c r="Y69" s="85">
        <v>17.600000000000001</v>
      </c>
      <c r="Z69" s="86">
        <v>7000</v>
      </c>
      <c r="AA69" s="85">
        <v>86.4</v>
      </c>
      <c r="AB69" s="38">
        <v>0</v>
      </c>
      <c r="AC69" s="85">
        <v>27</v>
      </c>
      <c r="AD69" s="87">
        <v>24</v>
      </c>
      <c r="AE69" s="88">
        <v>50</v>
      </c>
      <c r="AF69" s="78" t="s">
        <v>485</v>
      </c>
    </row>
    <row r="70" spans="1:32" ht="19.95" customHeight="1" thickBot="1" x14ac:dyDescent="0.35">
      <c r="A70" s="4" t="s">
        <v>85</v>
      </c>
      <c r="B70" s="77">
        <v>0.7</v>
      </c>
      <c r="K70" s="78" t="s">
        <v>358</v>
      </c>
      <c r="L70" s="79">
        <v>32</v>
      </c>
      <c r="M70" s="79">
        <v>10</v>
      </c>
      <c r="N70" s="80">
        <v>6.35</v>
      </c>
      <c r="O70" s="79">
        <v>2605</v>
      </c>
      <c r="P70" s="79">
        <v>5310</v>
      </c>
      <c r="Q70" s="79">
        <v>67</v>
      </c>
      <c r="R70" s="79">
        <v>120</v>
      </c>
      <c r="S70" s="78" t="s">
        <v>319</v>
      </c>
      <c r="T70" s="89" t="s">
        <v>168</v>
      </c>
      <c r="V70" s="85">
        <v>6.3</v>
      </c>
      <c r="W70" s="86">
        <v>1500</v>
      </c>
      <c r="X70" s="85">
        <v>40</v>
      </c>
      <c r="Y70" s="85">
        <v>11.2</v>
      </c>
      <c r="Z70" s="86">
        <v>7000</v>
      </c>
      <c r="AA70" s="85">
        <v>108</v>
      </c>
      <c r="AB70" s="38">
        <v>0</v>
      </c>
      <c r="AC70" s="85">
        <v>30</v>
      </c>
      <c r="AD70" s="87">
        <v>24</v>
      </c>
      <c r="AE70" s="88">
        <v>50</v>
      </c>
      <c r="AF70" s="78" t="s">
        <v>485</v>
      </c>
    </row>
    <row r="71" spans="1:32" ht="19.95" customHeight="1" thickBot="1" x14ac:dyDescent="0.35">
      <c r="A71" s="75" t="s">
        <v>283</v>
      </c>
      <c r="B71" s="40">
        <f>+B67*B68*B69*B70</f>
        <v>3500</v>
      </c>
      <c r="C71" s="9" t="s">
        <v>38</v>
      </c>
      <c r="E71" s="11"/>
      <c r="F71" s="39"/>
      <c r="G71" s="11"/>
      <c r="K71" s="78" t="s">
        <v>359</v>
      </c>
      <c r="L71" s="79">
        <v>32</v>
      </c>
      <c r="M71" s="79">
        <v>10</v>
      </c>
      <c r="N71" s="80">
        <v>6.35</v>
      </c>
      <c r="O71" s="79">
        <v>2605</v>
      </c>
      <c r="P71" s="79">
        <v>5310</v>
      </c>
      <c r="Q71" s="79">
        <v>67</v>
      </c>
      <c r="R71" s="79">
        <v>124</v>
      </c>
      <c r="S71" s="78" t="s">
        <v>319</v>
      </c>
      <c r="T71" s="89" t="s">
        <v>535</v>
      </c>
      <c r="V71" s="85">
        <v>12.6</v>
      </c>
      <c r="W71" s="86">
        <v>3000</v>
      </c>
      <c r="X71" s="85">
        <v>40</v>
      </c>
      <c r="Y71" s="85">
        <v>22.4</v>
      </c>
      <c r="Z71" s="86">
        <v>7000</v>
      </c>
      <c r="AA71" s="85">
        <v>108</v>
      </c>
      <c r="AB71" s="38">
        <v>0</v>
      </c>
      <c r="AC71" s="85">
        <v>30</v>
      </c>
      <c r="AD71" s="87">
        <v>24</v>
      </c>
      <c r="AE71" s="88">
        <v>50</v>
      </c>
      <c r="AF71" s="78" t="s">
        <v>485</v>
      </c>
    </row>
    <row r="72" spans="1:32" ht="19.95" customHeight="1" x14ac:dyDescent="0.3">
      <c r="K72" s="78" t="s">
        <v>360</v>
      </c>
      <c r="L72" s="79">
        <v>40</v>
      </c>
      <c r="M72" s="79">
        <v>5</v>
      </c>
      <c r="N72" s="80">
        <v>3.1749999999999998</v>
      </c>
      <c r="O72" s="79">
        <v>2230</v>
      </c>
      <c r="P72" s="79">
        <v>7940</v>
      </c>
      <c r="Q72" s="79">
        <v>147</v>
      </c>
      <c r="R72" s="79">
        <v>101</v>
      </c>
      <c r="S72" s="78" t="s">
        <v>319</v>
      </c>
      <c r="T72" s="89" t="s">
        <v>536</v>
      </c>
      <c r="V72" s="85">
        <v>14.25</v>
      </c>
      <c r="W72" s="86">
        <v>3000</v>
      </c>
      <c r="X72" s="85">
        <v>45</v>
      </c>
      <c r="Y72" s="85">
        <v>27</v>
      </c>
      <c r="Z72" s="86">
        <v>4000</v>
      </c>
      <c r="AA72" s="88">
        <v>121.5</v>
      </c>
      <c r="AB72" s="38">
        <v>0</v>
      </c>
      <c r="AC72" s="85">
        <v>40</v>
      </c>
      <c r="AD72" s="87">
        <v>42</v>
      </c>
      <c r="AE72" s="88">
        <v>80</v>
      </c>
      <c r="AF72" s="78" t="s">
        <v>485</v>
      </c>
    </row>
    <row r="73" spans="1:32" ht="19.95" customHeight="1" x14ac:dyDescent="0.3">
      <c r="A73" s="4" t="s">
        <v>81</v>
      </c>
      <c r="K73" s="78" t="s">
        <v>361</v>
      </c>
      <c r="L73" s="79">
        <v>40</v>
      </c>
      <c r="M73" s="79">
        <v>20</v>
      </c>
      <c r="N73" s="80">
        <v>6.35</v>
      </c>
      <c r="O73" s="79">
        <v>3010</v>
      </c>
      <c r="P73" s="79">
        <v>7100</v>
      </c>
      <c r="Q73" s="79">
        <v>82</v>
      </c>
      <c r="R73" s="79">
        <v>123</v>
      </c>
      <c r="S73" s="78" t="s">
        <v>319</v>
      </c>
      <c r="T73" s="89" t="s">
        <v>160</v>
      </c>
      <c r="V73" s="85">
        <v>8.3000000000000007</v>
      </c>
      <c r="W73" s="86">
        <v>1500</v>
      </c>
      <c r="X73" s="85">
        <v>52.2</v>
      </c>
      <c r="Y73" s="85">
        <v>15.8</v>
      </c>
      <c r="Z73" s="86">
        <v>4000</v>
      </c>
      <c r="AA73" s="88">
        <v>140.9</v>
      </c>
      <c r="AB73" s="38">
        <v>0</v>
      </c>
      <c r="AC73" s="85">
        <v>50</v>
      </c>
      <c r="AD73" s="87">
        <v>42</v>
      </c>
      <c r="AE73" s="88">
        <v>80</v>
      </c>
      <c r="AF73" s="78" t="s">
        <v>485</v>
      </c>
    </row>
    <row r="74" spans="1:32" ht="19.95" customHeight="1" x14ac:dyDescent="0.3">
      <c r="A74" s="33" t="s">
        <v>282</v>
      </c>
      <c r="B74" s="33" t="s">
        <v>79</v>
      </c>
      <c r="C74" s="33" t="s">
        <v>579</v>
      </c>
      <c r="D74" s="92" t="s">
        <v>578</v>
      </c>
      <c r="E74" s="33" t="s">
        <v>580</v>
      </c>
      <c r="F74" s="33" t="s">
        <v>75</v>
      </c>
      <c r="G74" s="33" t="s">
        <v>74</v>
      </c>
      <c r="K74" s="78" t="s">
        <v>362</v>
      </c>
      <c r="L74" s="79">
        <v>45</v>
      </c>
      <c r="M74" s="79">
        <v>10</v>
      </c>
      <c r="N74" s="80">
        <v>6.35</v>
      </c>
      <c r="O74" s="79">
        <v>3850</v>
      </c>
      <c r="P74" s="79">
        <v>9470</v>
      </c>
      <c r="Q74" s="79">
        <v>107</v>
      </c>
      <c r="R74" s="79">
        <v>143</v>
      </c>
      <c r="S74" s="78" t="s">
        <v>43</v>
      </c>
      <c r="T74" s="89" t="s">
        <v>537</v>
      </c>
      <c r="V74" s="85">
        <v>16.5</v>
      </c>
      <c r="W74" s="86">
        <v>3000</v>
      </c>
      <c r="X74" s="85">
        <v>52.2</v>
      </c>
      <c r="Y74" s="85">
        <v>31.5</v>
      </c>
      <c r="Z74" s="86">
        <v>4000</v>
      </c>
      <c r="AA74" s="88">
        <v>140.9</v>
      </c>
      <c r="AB74" s="38">
        <v>0</v>
      </c>
      <c r="AC74" s="85">
        <v>50</v>
      </c>
      <c r="AD74" s="87">
        <v>42</v>
      </c>
      <c r="AE74" s="88">
        <v>80</v>
      </c>
      <c r="AF74" s="78" t="s">
        <v>485</v>
      </c>
    </row>
    <row r="75" spans="1:32" ht="19.95" customHeight="1" x14ac:dyDescent="0.3">
      <c r="A75" s="33" t="s">
        <v>73</v>
      </c>
      <c r="B75" s="37">
        <f>+B76/2</f>
        <v>6.6</v>
      </c>
      <c r="C75" s="36">
        <f>+C76/2</f>
        <v>660</v>
      </c>
      <c r="D75" s="74">
        <f>B2*D17+B2*D55*(SIN(B4*PI()/180)+COS(B4*PI()/180)*B5)</f>
        <v>9309.69</v>
      </c>
      <c r="E75" s="35">
        <f t="shared" ref="E75:E81" si="0">+F75/$F$82*100</f>
        <v>1.6666666666666667</v>
      </c>
      <c r="F75" s="32">
        <f t="shared" ref="F75:F82" si="1">+G75/60</f>
        <v>0.1</v>
      </c>
      <c r="G75" s="32">
        <v>6</v>
      </c>
      <c r="H75" s="34" t="s">
        <v>73</v>
      </c>
      <c r="K75" s="78" t="s">
        <v>363</v>
      </c>
      <c r="L75" s="79">
        <v>45</v>
      </c>
      <c r="M75" s="79">
        <v>12</v>
      </c>
      <c r="N75" s="80">
        <v>6.35</v>
      </c>
      <c r="O75" s="79">
        <v>3850</v>
      </c>
      <c r="P75" s="79">
        <v>9470</v>
      </c>
      <c r="Q75" s="79">
        <v>107</v>
      </c>
      <c r="R75" s="79">
        <v>160</v>
      </c>
      <c r="S75" s="78" t="s">
        <v>43</v>
      </c>
      <c r="T75" s="89" t="s">
        <v>158</v>
      </c>
      <c r="V75" s="85">
        <v>11.3</v>
      </c>
      <c r="W75" s="86">
        <v>1500</v>
      </c>
      <c r="X75" s="85">
        <v>71.3</v>
      </c>
      <c r="Y75" s="85">
        <v>21</v>
      </c>
      <c r="Z75" s="86">
        <v>4000</v>
      </c>
      <c r="AA75" s="88">
        <v>192.4</v>
      </c>
      <c r="AB75" s="38">
        <v>0</v>
      </c>
      <c r="AC75" s="85">
        <v>60</v>
      </c>
      <c r="AD75" s="87">
        <v>42</v>
      </c>
      <c r="AE75" s="88">
        <v>80</v>
      </c>
      <c r="AF75" s="78" t="s">
        <v>485</v>
      </c>
    </row>
    <row r="76" spans="1:32" ht="19.95" customHeight="1" x14ac:dyDescent="0.3">
      <c r="A76" s="33" t="s">
        <v>72</v>
      </c>
      <c r="B76" s="37">
        <f>+F24</f>
        <v>13.2</v>
      </c>
      <c r="C76" s="36">
        <f>+D64</f>
        <v>1320</v>
      </c>
      <c r="D76" s="74">
        <f>+B2*D55*(SIN(B4*PI()/180)+COS(B4*PI()/180)*B5)</f>
        <v>7161.3</v>
      </c>
      <c r="E76" s="35">
        <f t="shared" si="0"/>
        <v>16.666666666666664</v>
      </c>
      <c r="F76" s="32">
        <f t="shared" si="1"/>
        <v>1</v>
      </c>
      <c r="G76" s="32">
        <v>60</v>
      </c>
      <c r="H76" s="34" t="s">
        <v>72</v>
      </c>
      <c r="K76" s="78" t="s">
        <v>364</v>
      </c>
      <c r="L76" s="79">
        <v>50</v>
      </c>
      <c r="M76" s="79">
        <v>10</v>
      </c>
      <c r="N76" s="80">
        <v>6.35</v>
      </c>
      <c r="O76" s="79">
        <v>3430</v>
      </c>
      <c r="P76" s="79">
        <v>9300</v>
      </c>
      <c r="Q76" s="79">
        <v>99</v>
      </c>
      <c r="R76" s="79">
        <v>123</v>
      </c>
      <c r="S76" s="78" t="s">
        <v>43</v>
      </c>
      <c r="T76" s="89" t="s">
        <v>538</v>
      </c>
      <c r="V76" s="85">
        <v>22.5</v>
      </c>
      <c r="W76" s="86">
        <v>3000</v>
      </c>
      <c r="X76" s="85">
        <v>71.3</v>
      </c>
      <c r="Y76" s="85">
        <v>42</v>
      </c>
      <c r="Z76" s="86">
        <v>4000</v>
      </c>
      <c r="AA76" s="88">
        <v>192.4</v>
      </c>
      <c r="AB76" s="38">
        <v>0</v>
      </c>
      <c r="AC76" s="85">
        <v>60</v>
      </c>
      <c r="AD76" s="87">
        <v>42</v>
      </c>
      <c r="AE76" s="88">
        <v>80</v>
      </c>
      <c r="AF76" s="78" t="s">
        <v>485</v>
      </c>
    </row>
    <row r="77" spans="1:32" ht="19.95" customHeight="1" x14ac:dyDescent="0.3">
      <c r="A77" s="33" t="s">
        <v>71</v>
      </c>
      <c r="B77" s="37">
        <f>+B75</f>
        <v>6.6</v>
      </c>
      <c r="C77" s="36">
        <f>+C76/2</f>
        <v>660</v>
      </c>
      <c r="D77" s="74">
        <f>+B2*D55*(SIN(B4*PI()/180)+COS(B4*PI()/180)*B5)-B2*D17</f>
        <v>5012.91</v>
      </c>
      <c r="E77" s="35">
        <f t="shared" si="0"/>
        <v>8.3333333333333321</v>
      </c>
      <c r="F77" s="32">
        <f t="shared" si="1"/>
        <v>0.5</v>
      </c>
      <c r="G77" s="32">
        <v>30</v>
      </c>
      <c r="H77" s="34" t="s">
        <v>71</v>
      </c>
      <c r="K77" s="78" t="s">
        <v>365</v>
      </c>
      <c r="L77" s="79">
        <v>50</v>
      </c>
      <c r="M77" s="79">
        <v>10</v>
      </c>
      <c r="N77" s="80">
        <v>6.35</v>
      </c>
      <c r="O77" s="79">
        <v>4390</v>
      </c>
      <c r="P77" s="79">
        <v>12400</v>
      </c>
      <c r="Q77" s="79">
        <v>129</v>
      </c>
      <c r="R77" s="79">
        <v>143</v>
      </c>
      <c r="S77" s="78" t="s">
        <v>43</v>
      </c>
      <c r="T77" s="89" t="s">
        <v>156</v>
      </c>
      <c r="V77" s="85">
        <v>13.9</v>
      </c>
      <c r="W77" s="86">
        <v>1500</v>
      </c>
      <c r="X77" s="85">
        <v>87.8</v>
      </c>
      <c r="Y77" s="85">
        <v>26.3</v>
      </c>
      <c r="Z77" s="86">
        <v>4000</v>
      </c>
      <c r="AA77" s="88">
        <v>237.1</v>
      </c>
      <c r="AB77" s="38">
        <v>0</v>
      </c>
      <c r="AC77" s="85">
        <v>70</v>
      </c>
      <c r="AD77" s="87">
        <v>42</v>
      </c>
      <c r="AE77" s="88">
        <v>80</v>
      </c>
      <c r="AF77" s="78" t="s">
        <v>485</v>
      </c>
    </row>
    <row r="78" spans="1:32" ht="19.95" customHeight="1" x14ac:dyDescent="0.3">
      <c r="A78" s="33" t="s">
        <v>70</v>
      </c>
      <c r="B78" s="37">
        <f>+B79/2</f>
        <v>6.6</v>
      </c>
      <c r="C78" s="36">
        <f>+C79/2</f>
        <v>660</v>
      </c>
      <c r="D78" s="74">
        <f>+B2*D55*(-SIN(B4*PI()/180)-COS(B4*PI()/180)*B5)-B2*D17</f>
        <v>-9309.69</v>
      </c>
      <c r="E78" s="35">
        <f t="shared" si="0"/>
        <v>1.6666666666666667</v>
      </c>
      <c r="F78" s="32">
        <f t="shared" si="1"/>
        <v>0.1</v>
      </c>
      <c r="G78" s="32">
        <v>6</v>
      </c>
      <c r="H78" s="34" t="s">
        <v>70</v>
      </c>
      <c r="K78" s="78" t="s">
        <v>366</v>
      </c>
      <c r="L78" s="79">
        <v>63</v>
      </c>
      <c r="M78" s="79">
        <v>10</v>
      </c>
      <c r="N78" s="80">
        <v>6.35</v>
      </c>
      <c r="O78" s="79">
        <v>5020</v>
      </c>
      <c r="P78" s="79">
        <v>16450</v>
      </c>
      <c r="Q78" s="79">
        <v>158</v>
      </c>
      <c r="R78" s="79">
        <v>147</v>
      </c>
      <c r="S78" s="78" t="s">
        <v>43</v>
      </c>
      <c r="T78" s="89" t="s">
        <v>539</v>
      </c>
      <c r="V78" s="85">
        <v>27.75</v>
      </c>
      <c r="W78" s="86">
        <v>3000</v>
      </c>
      <c r="X78" s="85">
        <v>87.8</v>
      </c>
      <c r="Y78" s="85">
        <v>52.5</v>
      </c>
      <c r="Z78" s="86">
        <v>4000</v>
      </c>
      <c r="AA78" s="88">
        <v>237.1</v>
      </c>
      <c r="AB78" s="38">
        <v>0</v>
      </c>
      <c r="AC78" s="85">
        <v>70</v>
      </c>
      <c r="AD78" s="87">
        <v>42</v>
      </c>
      <c r="AE78" s="88">
        <v>80</v>
      </c>
      <c r="AF78" s="78" t="s">
        <v>485</v>
      </c>
    </row>
    <row r="79" spans="1:32" ht="19.95" customHeight="1" x14ac:dyDescent="0.3">
      <c r="A79" s="33" t="s">
        <v>69</v>
      </c>
      <c r="B79" s="37">
        <f>+F24</f>
        <v>13.2</v>
      </c>
      <c r="C79" s="36">
        <f>+D64</f>
        <v>1320</v>
      </c>
      <c r="D79" s="74">
        <f>+B2*D55*(-SIN(B4*PI()/180)-COS(B4*PI()/180)*B5)</f>
        <v>-7161.3</v>
      </c>
      <c r="E79" s="35">
        <f t="shared" si="0"/>
        <v>16.666666666666664</v>
      </c>
      <c r="F79" s="32">
        <f t="shared" si="1"/>
        <v>1</v>
      </c>
      <c r="G79" s="32">
        <v>60</v>
      </c>
      <c r="H79" s="34" t="s">
        <v>69</v>
      </c>
      <c r="K79" s="78" t="s">
        <v>367</v>
      </c>
      <c r="L79" s="79">
        <v>63</v>
      </c>
      <c r="M79" s="79">
        <v>12</v>
      </c>
      <c r="N79" s="80">
        <v>7.9379999999999997</v>
      </c>
      <c r="O79" s="79">
        <v>5140</v>
      </c>
      <c r="P79" s="79">
        <v>14570</v>
      </c>
      <c r="Q79" s="79">
        <v>122</v>
      </c>
      <c r="R79" s="79">
        <v>147</v>
      </c>
      <c r="S79" s="78" t="s">
        <v>43</v>
      </c>
      <c r="T79" s="89" t="s">
        <v>154</v>
      </c>
      <c r="V79" s="85">
        <v>16.5</v>
      </c>
      <c r="W79" s="86">
        <v>1500</v>
      </c>
      <c r="X79" s="85">
        <v>104</v>
      </c>
      <c r="Y79" s="85">
        <v>31.2</v>
      </c>
      <c r="Z79" s="86">
        <v>4000</v>
      </c>
      <c r="AA79" s="88">
        <v>280.8</v>
      </c>
      <c r="AB79" s="38">
        <v>0</v>
      </c>
      <c r="AC79" s="85">
        <v>80</v>
      </c>
      <c r="AD79" s="87">
        <v>42</v>
      </c>
      <c r="AE79" s="88">
        <v>80</v>
      </c>
      <c r="AF79" s="78" t="s">
        <v>485</v>
      </c>
    </row>
    <row r="80" spans="1:32" ht="19.95" customHeight="1" x14ac:dyDescent="0.3">
      <c r="A80" s="33" t="s">
        <v>68</v>
      </c>
      <c r="B80" s="37">
        <f>+B78</f>
        <v>6.6</v>
      </c>
      <c r="C80" s="36">
        <f>+C79/2</f>
        <v>660</v>
      </c>
      <c r="D80" s="74">
        <f>+B2*D55*(-SIN(B4*PI()/180)+COS(B4*PI()/180)*B5)+B2*D17</f>
        <v>-5012.91</v>
      </c>
      <c r="E80" s="35">
        <f t="shared" si="0"/>
        <v>8.3333333333333321</v>
      </c>
      <c r="F80" s="32">
        <f t="shared" si="1"/>
        <v>0.5</v>
      </c>
      <c r="G80" s="32">
        <v>30</v>
      </c>
      <c r="H80" s="34" t="s">
        <v>68</v>
      </c>
      <c r="K80" s="78" t="s">
        <v>368</v>
      </c>
      <c r="L80" s="79">
        <v>63</v>
      </c>
      <c r="M80" s="79">
        <v>12</v>
      </c>
      <c r="N80" s="80">
        <v>7.9379999999999997</v>
      </c>
      <c r="O80" s="79">
        <v>6580</v>
      </c>
      <c r="P80" s="79">
        <v>19430</v>
      </c>
      <c r="Q80" s="79">
        <v>161</v>
      </c>
      <c r="R80" s="79">
        <v>171</v>
      </c>
      <c r="S80" s="78" t="s">
        <v>43</v>
      </c>
      <c r="T80" s="89" t="s">
        <v>540</v>
      </c>
      <c r="V80" s="85">
        <v>33</v>
      </c>
      <c r="W80" s="86">
        <v>3000</v>
      </c>
      <c r="X80" s="85">
        <v>104</v>
      </c>
      <c r="Y80" s="85">
        <v>62.4</v>
      </c>
      <c r="Z80" s="86">
        <v>4000</v>
      </c>
      <c r="AA80" s="88">
        <v>280.8</v>
      </c>
      <c r="AB80" s="38">
        <v>0</v>
      </c>
      <c r="AC80" s="85">
        <v>80</v>
      </c>
      <c r="AD80" s="87">
        <v>42</v>
      </c>
      <c r="AE80" s="88">
        <v>80</v>
      </c>
      <c r="AF80" s="78" t="s">
        <v>485</v>
      </c>
    </row>
    <row r="81" spans="1:32" ht="19.95" customHeight="1" x14ac:dyDescent="0.3">
      <c r="A81" s="33" t="s">
        <v>67</v>
      </c>
      <c r="B81" s="37">
        <v>0</v>
      </c>
      <c r="C81" s="36">
        <v>0</v>
      </c>
      <c r="D81" s="74">
        <f>+MAX(0, B2*D55*(SIN(B4*PI()/180))-COS(B4*PI()/180)*B5)</f>
        <v>7161.3</v>
      </c>
      <c r="E81" s="35">
        <f t="shared" si="0"/>
        <v>46.666666666666664</v>
      </c>
      <c r="F81" s="32">
        <f t="shared" si="1"/>
        <v>2.8</v>
      </c>
      <c r="G81" s="32">
        <f>2*60+48</f>
        <v>168</v>
      </c>
      <c r="H81" s="34" t="s">
        <v>67</v>
      </c>
      <c r="K81" s="78" t="s">
        <v>369</v>
      </c>
      <c r="L81" s="79">
        <v>63</v>
      </c>
      <c r="M81" s="79">
        <v>20</v>
      </c>
      <c r="N81" s="80">
        <v>9.5250000000000004</v>
      </c>
      <c r="O81" s="79">
        <v>5990</v>
      </c>
      <c r="P81" s="79">
        <v>15740</v>
      </c>
      <c r="Q81" s="79">
        <v>107</v>
      </c>
      <c r="R81" s="79">
        <v>95</v>
      </c>
      <c r="S81" s="78" t="s">
        <v>43</v>
      </c>
      <c r="T81" s="89" t="s">
        <v>151</v>
      </c>
      <c r="V81" s="85">
        <v>19.5</v>
      </c>
      <c r="W81" s="86">
        <v>1500</v>
      </c>
      <c r="X81" s="85">
        <v>124</v>
      </c>
      <c r="Y81" s="85">
        <v>37</v>
      </c>
      <c r="Z81" s="86">
        <v>4000</v>
      </c>
      <c r="AA81" s="88">
        <v>334.8</v>
      </c>
      <c r="AB81" s="38">
        <v>0</v>
      </c>
      <c r="AC81" s="85">
        <v>100</v>
      </c>
      <c r="AD81" s="87">
        <v>42</v>
      </c>
      <c r="AE81" s="88">
        <v>80</v>
      </c>
      <c r="AF81" s="78" t="s">
        <v>485</v>
      </c>
    </row>
    <row r="82" spans="1:32" ht="19.95" customHeight="1" x14ac:dyDescent="0.3">
      <c r="E82" s="16">
        <f>SUM(E75:E81)</f>
        <v>100</v>
      </c>
      <c r="F82" s="16">
        <f t="shared" si="1"/>
        <v>6</v>
      </c>
      <c r="G82" s="16">
        <f>SUM(G75:G81)</f>
        <v>360</v>
      </c>
      <c r="K82" s="78" t="s">
        <v>370</v>
      </c>
      <c r="L82" s="79">
        <v>80</v>
      </c>
      <c r="M82" s="79">
        <v>10</v>
      </c>
      <c r="N82" s="80">
        <v>6.35</v>
      </c>
      <c r="O82" s="79">
        <v>4760</v>
      </c>
      <c r="P82" s="79">
        <v>20090</v>
      </c>
      <c r="Q82" s="79">
        <v>173</v>
      </c>
      <c r="R82" s="79">
        <v>115</v>
      </c>
      <c r="S82" s="78" t="s">
        <v>43</v>
      </c>
      <c r="T82" s="89" t="s">
        <v>541</v>
      </c>
      <c r="V82" s="85">
        <v>39</v>
      </c>
      <c r="W82" s="86">
        <v>3000</v>
      </c>
      <c r="X82" s="85">
        <v>124</v>
      </c>
      <c r="Y82" s="85">
        <v>75</v>
      </c>
      <c r="Z82" s="86">
        <v>4000</v>
      </c>
      <c r="AA82" s="88">
        <v>334.8</v>
      </c>
      <c r="AB82" s="38">
        <v>0</v>
      </c>
      <c r="AC82" s="85">
        <v>100</v>
      </c>
      <c r="AD82" s="87">
        <v>42</v>
      </c>
      <c r="AE82" s="88">
        <v>80</v>
      </c>
      <c r="AF82" s="78" t="s">
        <v>485</v>
      </c>
    </row>
    <row r="83" spans="1:32" ht="19.95" customHeight="1" x14ac:dyDescent="0.3">
      <c r="E83" s="16"/>
      <c r="F83" s="16"/>
      <c r="G83" s="16"/>
      <c r="K83" s="78" t="s">
        <v>371</v>
      </c>
      <c r="L83" s="79">
        <v>80</v>
      </c>
      <c r="M83" s="79">
        <v>16</v>
      </c>
      <c r="N83" s="80">
        <v>9.5250000000000004</v>
      </c>
      <c r="O83" s="79">
        <v>11280</v>
      </c>
      <c r="P83" s="79">
        <v>41220</v>
      </c>
      <c r="Q83" s="79">
        <v>201</v>
      </c>
      <c r="R83" s="79">
        <v>175</v>
      </c>
      <c r="S83" s="78" t="s">
        <v>43</v>
      </c>
      <c r="T83" s="89" t="s">
        <v>149</v>
      </c>
      <c r="V83" s="85">
        <v>22.5</v>
      </c>
      <c r="W83" s="86">
        <v>1500</v>
      </c>
      <c r="X83" s="85">
        <v>142</v>
      </c>
      <c r="Y83" s="85">
        <v>42.6</v>
      </c>
      <c r="Z83" s="86">
        <v>4000</v>
      </c>
      <c r="AA83" s="88">
        <v>383.4</v>
      </c>
      <c r="AB83" s="38">
        <v>0</v>
      </c>
      <c r="AC83" s="85">
        <v>110</v>
      </c>
      <c r="AD83" s="87">
        <v>42</v>
      </c>
      <c r="AE83" s="88">
        <v>80</v>
      </c>
      <c r="AF83" s="78" t="s">
        <v>485</v>
      </c>
    </row>
    <row r="84" spans="1:32" ht="19.95" customHeight="1" x14ac:dyDescent="0.3">
      <c r="A84" s="95" t="s">
        <v>582</v>
      </c>
      <c r="B84" s="95"/>
      <c r="C84" s="95"/>
      <c r="D84" s="95"/>
      <c r="E84" s="95"/>
      <c r="F84" s="94">
        <f>$B$2*$D$55*(SIN($B$4*PI()/180)+$B$5*COS($B$4*PI()/180))+$B$2*$D$17</f>
        <v>9309.69</v>
      </c>
      <c r="K84" s="78" t="s">
        <v>372</v>
      </c>
      <c r="L84" s="79">
        <v>80</v>
      </c>
      <c r="M84" s="79">
        <v>16</v>
      </c>
      <c r="N84" s="80">
        <v>9.5250000000000004</v>
      </c>
      <c r="O84" s="79">
        <v>7960</v>
      </c>
      <c r="P84" s="79">
        <v>27480</v>
      </c>
      <c r="Q84" s="79">
        <v>137</v>
      </c>
      <c r="R84" s="79">
        <v>159</v>
      </c>
      <c r="S84" s="78" t="s">
        <v>43</v>
      </c>
      <c r="T84" s="89" t="s">
        <v>542</v>
      </c>
      <c r="V84" s="85">
        <v>45</v>
      </c>
      <c r="W84" s="86">
        <v>3000</v>
      </c>
      <c r="X84" s="85">
        <v>142</v>
      </c>
      <c r="Y84" s="85">
        <v>85.2</v>
      </c>
      <c r="Z84" s="86">
        <v>4000</v>
      </c>
      <c r="AA84" s="88">
        <v>383.4</v>
      </c>
      <c r="AB84" s="38">
        <v>0</v>
      </c>
      <c r="AC84" s="85">
        <v>110</v>
      </c>
      <c r="AD84" s="87">
        <v>42</v>
      </c>
      <c r="AE84" s="88">
        <v>80</v>
      </c>
      <c r="AF84" s="78" t="s">
        <v>485</v>
      </c>
    </row>
    <row r="85" spans="1:32" ht="19.95" customHeight="1" x14ac:dyDescent="0.3">
      <c r="A85" s="95" t="s">
        <v>581</v>
      </c>
      <c r="B85" s="96"/>
      <c r="C85" s="96"/>
      <c r="D85" s="96"/>
      <c r="E85" s="96"/>
      <c r="F85" s="94">
        <f>$B$2*$D$55*(SIN($B$4*PI()/180)+$B$5*COS($B$4*PI()/180))</f>
        <v>7161.3</v>
      </c>
      <c r="K85" s="78" t="s">
        <v>373</v>
      </c>
      <c r="L85" s="79">
        <v>16</v>
      </c>
      <c r="M85" s="79">
        <v>5</v>
      </c>
      <c r="N85" s="80">
        <v>3</v>
      </c>
      <c r="O85" s="79">
        <v>890</v>
      </c>
      <c r="P85" s="79">
        <v>1760</v>
      </c>
      <c r="Q85" s="79">
        <v>27</v>
      </c>
      <c r="R85" s="79">
        <v>41</v>
      </c>
      <c r="S85" s="78" t="s">
        <v>43</v>
      </c>
      <c r="T85" s="89" t="s">
        <v>147</v>
      </c>
      <c r="V85" s="85">
        <v>17</v>
      </c>
      <c r="W85" s="86">
        <v>1500</v>
      </c>
      <c r="X85" s="85">
        <v>105</v>
      </c>
      <c r="Y85" s="85">
        <v>31.5</v>
      </c>
      <c r="Z85" s="86">
        <v>4000</v>
      </c>
      <c r="AA85" s="88">
        <v>210</v>
      </c>
      <c r="AB85" s="38">
        <v>0</v>
      </c>
      <c r="AC85" s="85">
        <v>118</v>
      </c>
      <c r="AD85" s="87">
        <v>48</v>
      </c>
      <c r="AE85" s="88">
        <v>110</v>
      </c>
      <c r="AF85" s="78" t="s">
        <v>485</v>
      </c>
    </row>
    <row r="86" spans="1:32" ht="19.95" customHeight="1" x14ac:dyDescent="0.3">
      <c r="A86" s="95" t="s">
        <v>583</v>
      </c>
      <c r="B86" s="96"/>
      <c r="C86" s="96"/>
      <c r="D86" s="96"/>
      <c r="E86" s="96"/>
      <c r="F86" s="94">
        <f>$B$2*$D$55*(SIN($B$4*PI()/180)+$B$5*COS($B$4*PI()/180))-$B$2*$D$17</f>
        <v>5012.91</v>
      </c>
      <c r="K86" s="78" t="s">
        <v>374</v>
      </c>
      <c r="L86" s="79">
        <v>20</v>
      </c>
      <c r="M86" s="79">
        <v>10</v>
      </c>
      <c r="N86" s="80">
        <v>3.1749999999999998</v>
      </c>
      <c r="O86" s="79">
        <v>990</v>
      </c>
      <c r="P86" s="79">
        <v>2220</v>
      </c>
      <c r="Q86" s="79">
        <v>33</v>
      </c>
      <c r="R86" s="79">
        <v>47</v>
      </c>
      <c r="S86" s="78" t="s">
        <v>319</v>
      </c>
      <c r="T86" s="89" t="s">
        <v>543</v>
      </c>
      <c r="V86" s="85">
        <v>33.700000000000003</v>
      </c>
      <c r="W86" s="86">
        <v>3000</v>
      </c>
      <c r="X86" s="85">
        <v>105</v>
      </c>
      <c r="Y86" s="85">
        <v>63</v>
      </c>
      <c r="Z86" s="86">
        <v>4000</v>
      </c>
      <c r="AA86" s="88">
        <v>210</v>
      </c>
      <c r="AB86" s="38">
        <v>0</v>
      </c>
      <c r="AC86" s="85">
        <v>118</v>
      </c>
      <c r="AD86" s="87">
        <v>48</v>
      </c>
      <c r="AE86" s="88">
        <v>110</v>
      </c>
      <c r="AF86" s="78" t="s">
        <v>485</v>
      </c>
    </row>
    <row r="87" spans="1:32" ht="19.95" customHeight="1" x14ac:dyDescent="0.3">
      <c r="A87" s="95" t="s">
        <v>584</v>
      </c>
      <c r="B87" s="96"/>
      <c r="C87" s="96"/>
      <c r="D87" s="96"/>
      <c r="E87" s="96"/>
      <c r="F87" s="94">
        <f>$B$2*$D$55*($B$5*COS($B$4*PI()/180)-SIN($B$4*PI()/180))-$B$2*$D$17</f>
        <v>-9309.69</v>
      </c>
      <c r="K87" s="78" t="s">
        <v>375</v>
      </c>
      <c r="L87" s="79">
        <v>20</v>
      </c>
      <c r="M87" s="79">
        <v>10</v>
      </c>
      <c r="N87" s="80">
        <v>4.7619999999999996</v>
      </c>
      <c r="O87" s="79">
        <v>2560</v>
      </c>
      <c r="P87" s="79">
        <v>5530</v>
      </c>
      <c r="Q87" s="79">
        <v>47</v>
      </c>
      <c r="R87" s="79">
        <v>62</v>
      </c>
      <c r="S87" s="9" t="s">
        <v>51</v>
      </c>
      <c r="T87" s="89" t="s">
        <v>144</v>
      </c>
      <c r="V87" s="85">
        <v>24</v>
      </c>
      <c r="W87" s="86">
        <v>1500</v>
      </c>
      <c r="X87" s="85">
        <v>153</v>
      </c>
      <c r="Y87" s="85">
        <v>46.5</v>
      </c>
      <c r="Z87" s="86">
        <v>4000</v>
      </c>
      <c r="AA87" s="88">
        <v>306</v>
      </c>
      <c r="AB87" s="38">
        <v>0</v>
      </c>
      <c r="AC87" s="85">
        <v>138</v>
      </c>
      <c r="AD87" s="87">
        <v>48</v>
      </c>
      <c r="AE87" s="88">
        <v>110</v>
      </c>
      <c r="AF87" s="78" t="s">
        <v>485</v>
      </c>
    </row>
    <row r="88" spans="1:32" ht="19.95" customHeight="1" x14ac:dyDescent="0.3">
      <c r="A88" s="95" t="s">
        <v>585</v>
      </c>
      <c r="B88" s="96"/>
      <c r="C88" s="96"/>
      <c r="D88" s="96"/>
      <c r="E88" s="96"/>
      <c r="F88" s="94">
        <f>$B$2*$D$55*($B$5*COS($B$4*PI()/180)-SIN($B$4*PI()/180))</f>
        <v>-7161.3</v>
      </c>
      <c r="G88" s="93"/>
      <c r="K88" s="78" t="s">
        <v>376</v>
      </c>
      <c r="L88" s="79">
        <v>20</v>
      </c>
      <c r="M88" s="79">
        <v>20</v>
      </c>
      <c r="N88" s="80">
        <v>3.1749999999999998</v>
      </c>
      <c r="O88" s="79">
        <v>670</v>
      </c>
      <c r="P88" s="79">
        <v>1450</v>
      </c>
      <c r="Q88" s="79">
        <v>23</v>
      </c>
      <c r="R88" s="79">
        <v>56</v>
      </c>
      <c r="S88" s="78" t="s">
        <v>319</v>
      </c>
      <c r="T88" s="89" t="s">
        <v>544</v>
      </c>
      <c r="V88" s="85">
        <v>48</v>
      </c>
      <c r="W88" s="86">
        <v>3000</v>
      </c>
      <c r="X88" s="85">
        <v>153</v>
      </c>
      <c r="Y88" s="85">
        <v>91.5</v>
      </c>
      <c r="Z88" s="86">
        <v>4000</v>
      </c>
      <c r="AA88" s="88">
        <v>306</v>
      </c>
      <c r="AB88" s="38">
        <v>0</v>
      </c>
      <c r="AC88" s="85">
        <v>138</v>
      </c>
      <c r="AD88" s="87">
        <v>48</v>
      </c>
      <c r="AE88" s="88">
        <v>110</v>
      </c>
      <c r="AF88" s="78" t="s">
        <v>485</v>
      </c>
    </row>
    <row r="89" spans="1:32" ht="19.95" customHeight="1" x14ac:dyDescent="0.3">
      <c r="A89" s="95" t="s">
        <v>586</v>
      </c>
      <c r="B89" s="96"/>
      <c r="C89" s="96"/>
      <c r="D89" s="96"/>
      <c r="E89" s="96"/>
      <c r="F89" s="94">
        <f>$B$2*$D$17+$B$2*$D$55*($B$5*COS($B$4*PI()/180)-SIN($B$4*PI()/180))</f>
        <v>-5012.91</v>
      </c>
      <c r="K89" s="78" t="s">
        <v>377</v>
      </c>
      <c r="L89" s="79">
        <v>25</v>
      </c>
      <c r="M89" s="79">
        <v>10</v>
      </c>
      <c r="N89" s="80">
        <v>3.1749999999999998</v>
      </c>
      <c r="O89" s="79">
        <v>1100</v>
      </c>
      <c r="P89" s="79">
        <v>2810</v>
      </c>
      <c r="Q89" s="79">
        <v>38</v>
      </c>
      <c r="R89" s="79">
        <v>50</v>
      </c>
      <c r="S89" s="78" t="s">
        <v>319</v>
      </c>
      <c r="T89" s="89" t="s">
        <v>141</v>
      </c>
      <c r="V89" s="85">
        <v>33.799999999999997</v>
      </c>
      <c r="W89" s="86">
        <v>1500</v>
      </c>
      <c r="X89" s="85">
        <v>215</v>
      </c>
      <c r="Y89" s="85">
        <v>64.5</v>
      </c>
      <c r="Z89" s="86">
        <v>4000</v>
      </c>
      <c r="AA89" s="88">
        <v>430</v>
      </c>
      <c r="AB89" s="38">
        <v>0</v>
      </c>
      <c r="AC89" s="85">
        <v>158</v>
      </c>
      <c r="AD89" s="87">
        <v>48</v>
      </c>
      <c r="AE89" s="88">
        <v>110</v>
      </c>
      <c r="AF89" s="78" t="s">
        <v>485</v>
      </c>
    </row>
    <row r="90" spans="1:32" ht="19.95" customHeight="1" x14ac:dyDescent="0.3">
      <c r="A90" s="95" t="s">
        <v>587</v>
      </c>
      <c r="B90" s="96"/>
      <c r="C90" s="96"/>
      <c r="D90" s="96"/>
      <c r="E90" s="96"/>
      <c r="F90" s="94">
        <f>MAX(0, $B$2*$D$55*SIN($B$4*PI()/180))-$B$2*$D$55*($B$5*COS($B$4*PI()/180))</f>
        <v>7161.3</v>
      </c>
      <c r="K90" s="78" t="s">
        <v>378</v>
      </c>
      <c r="L90" s="79">
        <v>25</v>
      </c>
      <c r="M90" s="79">
        <v>10</v>
      </c>
      <c r="N90" s="80">
        <v>4.7619999999999996</v>
      </c>
      <c r="O90" s="79">
        <v>2880</v>
      </c>
      <c r="P90" s="79">
        <v>6870</v>
      </c>
      <c r="Q90" s="79">
        <v>55</v>
      </c>
      <c r="R90" s="79">
        <v>63</v>
      </c>
      <c r="S90" s="78" t="s">
        <v>319</v>
      </c>
      <c r="T90" s="89" t="s">
        <v>545</v>
      </c>
      <c r="V90" s="85">
        <v>67.5</v>
      </c>
      <c r="W90" s="86">
        <v>3000</v>
      </c>
      <c r="X90" s="85">
        <v>215</v>
      </c>
      <c r="Y90" s="85">
        <v>129</v>
      </c>
      <c r="Z90" s="86">
        <v>4000</v>
      </c>
      <c r="AA90" s="88">
        <v>430</v>
      </c>
      <c r="AB90" s="38">
        <v>0</v>
      </c>
      <c r="AC90" s="85">
        <v>158</v>
      </c>
      <c r="AD90" s="87">
        <v>48</v>
      </c>
      <c r="AE90" s="88">
        <v>110</v>
      </c>
      <c r="AF90" s="78" t="s">
        <v>485</v>
      </c>
    </row>
    <row r="91" spans="1:32" ht="19.95" customHeight="1" x14ac:dyDescent="0.3">
      <c r="G91" s="16"/>
      <c r="K91" s="78" t="s">
        <v>379</v>
      </c>
      <c r="L91" s="79">
        <v>25</v>
      </c>
      <c r="M91" s="79">
        <v>10</v>
      </c>
      <c r="N91" s="80">
        <v>6.35</v>
      </c>
      <c r="O91" s="79">
        <v>5050</v>
      </c>
      <c r="P91" s="79">
        <v>11500</v>
      </c>
      <c r="Q91" s="79">
        <v>72</v>
      </c>
      <c r="R91" s="79">
        <v>78</v>
      </c>
      <c r="S91" s="78" t="s">
        <v>319</v>
      </c>
      <c r="T91" s="89" t="s">
        <v>139</v>
      </c>
      <c r="V91" s="85">
        <v>41.3</v>
      </c>
      <c r="W91" s="86">
        <v>1500</v>
      </c>
      <c r="X91" s="85">
        <v>263</v>
      </c>
      <c r="Y91" s="85">
        <v>78.900000000000006</v>
      </c>
      <c r="Z91" s="86">
        <v>4000</v>
      </c>
      <c r="AA91" s="88">
        <v>526</v>
      </c>
      <c r="AB91" s="38">
        <v>0</v>
      </c>
      <c r="AC91" s="85">
        <v>178</v>
      </c>
      <c r="AD91" s="87">
        <v>48</v>
      </c>
      <c r="AE91" s="88">
        <v>110</v>
      </c>
      <c r="AF91" s="78" t="s">
        <v>485</v>
      </c>
    </row>
    <row r="92" spans="1:32" ht="19.95" customHeight="1" x14ac:dyDescent="0.3">
      <c r="A92" s="4" t="s">
        <v>66</v>
      </c>
      <c r="E92" s="16"/>
      <c r="F92" s="16"/>
      <c r="G92" s="16"/>
      <c r="K92" s="78" t="s">
        <v>380</v>
      </c>
      <c r="L92" s="79">
        <v>25</v>
      </c>
      <c r="M92" s="79">
        <v>15</v>
      </c>
      <c r="N92" s="80">
        <v>3.1749999999999998</v>
      </c>
      <c r="O92" s="79">
        <v>1410</v>
      </c>
      <c r="P92" s="79">
        <v>3780</v>
      </c>
      <c r="Q92" s="79">
        <v>50</v>
      </c>
      <c r="R92" s="79">
        <v>81</v>
      </c>
      <c r="S92" s="78" t="s">
        <v>319</v>
      </c>
      <c r="T92" s="89" t="s">
        <v>546</v>
      </c>
      <c r="V92" s="85">
        <v>82.5</v>
      </c>
      <c r="W92" s="86">
        <v>3000</v>
      </c>
      <c r="X92" s="85">
        <v>263</v>
      </c>
      <c r="Y92" s="85">
        <v>157.80000000000001</v>
      </c>
      <c r="Z92" s="86">
        <v>4000</v>
      </c>
      <c r="AA92" s="88">
        <v>526</v>
      </c>
      <c r="AB92" s="38">
        <v>0</v>
      </c>
      <c r="AC92" s="85">
        <v>178</v>
      </c>
      <c r="AD92" s="87">
        <v>48</v>
      </c>
      <c r="AE92" s="88">
        <v>110</v>
      </c>
      <c r="AF92" s="78" t="s">
        <v>485</v>
      </c>
    </row>
    <row r="93" spans="1:32" ht="19.95" customHeight="1" x14ac:dyDescent="0.3">
      <c r="A93" s="4" t="s">
        <v>62</v>
      </c>
      <c r="B93" s="11">
        <f>+B14/60</f>
        <v>7.9666666666666668</v>
      </c>
      <c r="C93" s="9" t="s">
        <v>19</v>
      </c>
      <c r="D93" s="4" t="s">
        <v>64</v>
      </c>
      <c r="E93" s="14">
        <f>+$B$8</f>
        <v>25</v>
      </c>
      <c r="F93" s="9" t="s">
        <v>19</v>
      </c>
      <c r="G93" s="16"/>
      <c r="K93" s="78" t="s">
        <v>381</v>
      </c>
      <c r="L93" s="79">
        <v>25</v>
      </c>
      <c r="M93" s="79">
        <v>16</v>
      </c>
      <c r="N93" s="80">
        <v>4.7619999999999996</v>
      </c>
      <c r="O93" s="79">
        <v>2830</v>
      </c>
      <c r="P93" s="79">
        <v>6790</v>
      </c>
      <c r="Q93" s="79">
        <v>55</v>
      </c>
      <c r="R93" s="79">
        <v>85</v>
      </c>
      <c r="S93" s="78" t="s">
        <v>319</v>
      </c>
      <c r="T93" s="89" t="s">
        <v>136</v>
      </c>
      <c r="V93" s="85">
        <v>48</v>
      </c>
      <c r="W93" s="86">
        <v>1500</v>
      </c>
      <c r="X93" s="85">
        <v>302.7</v>
      </c>
      <c r="Y93" s="85">
        <v>90.6</v>
      </c>
      <c r="Z93" s="86">
        <v>4000</v>
      </c>
      <c r="AA93" s="88">
        <v>605.4</v>
      </c>
      <c r="AB93" s="38">
        <v>0</v>
      </c>
      <c r="AC93" s="85">
        <v>198</v>
      </c>
      <c r="AD93" s="87">
        <v>48</v>
      </c>
      <c r="AE93" s="88">
        <v>110</v>
      </c>
      <c r="AF93" s="78" t="s">
        <v>485</v>
      </c>
    </row>
    <row r="94" spans="1:32" ht="19.95" customHeight="1" x14ac:dyDescent="0.3">
      <c r="G94" s="16"/>
      <c r="K94" s="78" t="s">
        <v>382</v>
      </c>
      <c r="L94" s="79">
        <v>25</v>
      </c>
      <c r="M94" s="79">
        <v>25</v>
      </c>
      <c r="N94" s="80">
        <v>3.1749999999999998</v>
      </c>
      <c r="O94" s="79">
        <v>730</v>
      </c>
      <c r="P94" s="79">
        <v>1810</v>
      </c>
      <c r="Q94" s="79">
        <v>26</v>
      </c>
      <c r="R94" s="79">
        <v>71</v>
      </c>
      <c r="S94" s="78" t="s">
        <v>319</v>
      </c>
      <c r="T94" s="89" t="s">
        <v>547</v>
      </c>
      <c r="V94" s="85">
        <v>96</v>
      </c>
      <c r="W94" s="86">
        <v>3000</v>
      </c>
      <c r="X94" s="85">
        <v>302.7</v>
      </c>
      <c r="Y94" s="85">
        <v>181.2</v>
      </c>
      <c r="Z94" s="86">
        <v>4000</v>
      </c>
      <c r="AA94" s="88">
        <v>605.4</v>
      </c>
      <c r="AB94" s="38">
        <v>0</v>
      </c>
      <c r="AC94" s="85">
        <v>198</v>
      </c>
      <c r="AD94" s="87">
        <v>48</v>
      </c>
      <c r="AE94" s="88">
        <v>110</v>
      </c>
      <c r="AF94" s="78" t="s">
        <v>485</v>
      </c>
    </row>
    <row r="95" spans="1:32" ht="19.95" customHeight="1" x14ac:dyDescent="0.3">
      <c r="G95" s="16"/>
      <c r="K95" s="78" t="s">
        <v>383</v>
      </c>
      <c r="L95" s="79">
        <v>28</v>
      </c>
      <c r="M95" s="79">
        <v>10</v>
      </c>
      <c r="N95" s="80">
        <v>4.7619999999999996</v>
      </c>
      <c r="O95" s="79">
        <v>2350</v>
      </c>
      <c r="P95" s="79">
        <v>5720</v>
      </c>
      <c r="Q95" s="79">
        <v>46</v>
      </c>
      <c r="R95" s="79">
        <v>52</v>
      </c>
      <c r="S95" s="78" t="s">
        <v>319</v>
      </c>
      <c r="T95" s="89" t="s">
        <v>134</v>
      </c>
      <c r="V95" s="85">
        <v>56.3</v>
      </c>
      <c r="W95" s="86">
        <v>1500</v>
      </c>
      <c r="X95" s="85">
        <v>354.7</v>
      </c>
      <c r="Y95" s="85">
        <v>106.5</v>
      </c>
      <c r="Z95" s="86">
        <v>4000</v>
      </c>
      <c r="AA95" s="88">
        <v>709.4</v>
      </c>
      <c r="AB95" s="38">
        <v>0</v>
      </c>
      <c r="AC95" s="85">
        <v>218</v>
      </c>
      <c r="AD95" s="87">
        <v>48</v>
      </c>
      <c r="AE95" s="88">
        <v>110</v>
      </c>
      <c r="AF95" s="78" t="s">
        <v>485</v>
      </c>
    </row>
    <row r="96" spans="1:32" ht="19.95" customHeight="1" x14ac:dyDescent="0.3">
      <c r="G96" s="16"/>
      <c r="K96" s="78" t="s">
        <v>384</v>
      </c>
      <c r="L96" s="79">
        <v>28</v>
      </c>
      <c r="M96" s="79">
        <v>10</v>
      </c>
      <c r="N96" s="80">
        <v>6.35</v>
      </c>
      <c r="O96" s="79">
        <v>5280</v>
      </c>
      <c r="P96" s="79">
        <v>12530</v>
      </c>
      <c r="Q96" s="79">
        <v>77</v>
      </c>
      <c r="R96" s="79">
        <v>78</v>
      </c>
      <c r="S96" s="78" t="s">
        <v>319</v>
      </c>
      <c r="T96" s="89" t="s">
        <v>548</v>
      </c>
      <c r="V96" s="85">
        <v>112.5</v>
      </c>
      <c r="W96" s="86">
        <v>3000</v>
      </c>
      <c r="X96" s="85">
        <v>354.7</v>
      </c>
      <c r="Y96" s="85">
        <v>213</v>
      </c>
      <c r="Z96" s="86">
        <v>4000</v>
      </c>
      <c r="AA96" s="88">
        <v>709.4</v>
      </c>
      <c r="AB96" s="38">
        <v>0</v>
      </c>
      <c r="AC96" s="85">
        <v>218</v>
      </c>
      <c r="AD96" s="87">
        <v>48</v>
      </c>
      <c r="AE96" s="88">
        <v>110</v>
      </c>
      <c r="AF96" s="78" t="s">
        <v>485</v>
      </c>
    </row>
    <row r="97" spans="1:32" ht="19.95" customHeight="1" x14ac:dyDescent="0.3">
      <c r="A97" s="4" t="s">
        <v>65</v>
      </c>
      <c r="D97" s="11"/>
      <c r="E97" s="16"/>
      <c r="F97" s="16"/>
      <c r="G97" s="16"/>
      <c r="K97" s="78" t="s">
        <v>385</v>
      </c>
      <c r="L97" s="79">
        <v>32</v>
      </c>
      <c r="M97" s="79">
        <v>10</v>
      </c>
      <c r="N97" s="80">
        <v>3.9689999999999999</v>
      </c>
      <c r="O97" s="79">
        <v>2550</v>
      </c>
      <c r="P97" s="79">
        <v>7500</v>
      </c>
      <c r="Q97" s="79">
        <v>63</v>
      </c>
      <c r="R97" s="79">
        <v>62</v>
      </c>
      <c r="S97" s="78" t="s">
        <v>319</v>
      </c>
      <c r="T97" s="89" t="s">
        <v>131</v>
      </c>
      <c r="V97" s="85">
        <v>61.5</v>
      </c>
      <c r="W97" s="86">
        <v>1500</v>
      </c>
      <c r="X97" s="85">
        <v>387.7</v>
      </c>
      <c r="Y97" s="85">
        <v>116.3</v>
      </c>
      <c r="Z97" s="86">
        <v>4000</v>
      </c>
      <c r="AA97" s="88">
        <v>775.4</v>
      </c>
      <c r="AB97" s="38">
        <v>0</v>
      </c>
      <c r="AC97" s="85">
        <v>238</v>
      </c>
      <c r="AD97" s="87">
        <v>48</v>
      </c>
      <c r="AE97" s="88">
        <v>110</v>
      </c>
      <c r="AF97" s="78" t="s">
        <v>485</v>
      </c>
    </row>
    <row r="98" spans="1:32" ht="19.95" customHeight="1" x14ac:dyDescent="0.3">
      <c r="A98" s="4" t="s">
        <v>62</v>
      </c>
      <c r="B98" s="11">
        <f>+(MAX(D75:D81)*B14^2/(B109*10^3))^(1/4)</f>
        <v>21.369664817242704</v>
      </c>
      <c r="C98" s="9" t="s">
        <v>19</v>
      </c>
      <c r="D98" s="4" t="s">
        <v>64</v>
      </c>
      <c r="E98" s="14">
        <f>+$B$8</f>
        <v>25</v>
      </c>
      <c r="F98" s="9" t="s">
        <v>19</v>
      </c>
      <c r="G98" s="16"/>
      <c r="K98" s="78" t="s">
        <v>386</v>
      </c>
      <c r="L98" s="79">
        <v>32</v>
      </c>
      <c r="M98" s="79">
        <v>10</v>
      </c>
      <c r="N98" s="80">
        <v>4.7619999999999996</v>
      </c>
      <c r="O98" s="79">
        <v>3890</v>
      </c>
      <c r="P98" s="79">
        <v>10910</v>
      </c>
      <c r="Q98" s="79">
        <v>80</v>
      </c>
      <c r="R98" s="79">
        <v>77</v>
      </c>
      <c r="S98" s="78" t="s">
        <v>319</v>
      </c>
      <c r="T98" s="89" t="s">
        <v>549</v>
      </c>
      <c r="V98" s="85">
        <v>123</v>
      </c>
      <c r="W98" s="86">
        <v>3000</v>
      </c>
      <c r="X98" s="85">
        <v>387.7</v>
      </c>
      <c r="Y98" s="85">
        <v>232.5</v>
      </c>
      <c r="Z98" s="86">
        <v>4000</v>
      </c>
      <c r="AA98" s="88">
        <v>775.4</v>
      </c>
      <c r="AB98" s="38">
        <v>0</v>
      </c>
      <c r="AC98" s="85">
        <v>238</v>
      </c>
      <c r="AD98" s="87">
        <v>48</v>
      </c>
      <c r="AE98" s="88">
        <v>110</v>
      </c>
      <c r="AF98" s="78" t="s">
        <v>485</v>
      </c>
    </row>
    <row r="99" spans="1:32" ht="19.95" customHeight="1" x14ac:dyDescent="0.3">
      <c r="E99" s="16"/>
      <c r="F99" s="16"/>
      <c r="G99" s="16"/>
      <c r="K99" s="78" t="s">
        <v>387</v>
      </c>
      <c r="L99" s="79">
        <v>32</v>
      </c>
      <c r="M99" s="79">
        <v>10</v>
      </c>
      <c r="N99" s="80">
        <v>5.556</v>
      </c>
      <c r="O99" s="79">
        <v>4900</v>
      </c>
      <c r="P99" s="79">
        <v>13360</v>
      </c>
      <c r="Q99" s="79">
        <v>84</v>
      </c>
      <c r="R99" s="79">
        <v>78</v>
      </c>
      <c r="S99" s="78" t="s">
        <v>319</v>
      </c>
      <c r="T99" s="89" t="s">
        <v>128</v>
      </c>
      <c r="V99" s="85">
        <v>0.6</v>
      </c>
      <c r="W99" s="86">
        <v>3000</v>
      </c>
      <c r="X99" s="85">
        <v>2</v>
      </c>
      <c r="Y99" s="85">
        <v>4</v>
      </c>
      <c r="Z99" s="86">
        <v>7000</v>
      </c>
      <c r="AA99" s="85">
        <v>4</v>
      </c>
      <c r="AB99" s="38">
        <v>0</v>
      </c>
      <c r="AC99" s="85">
        <v>4.2</v>
      </c>
      <c r="AD99" s="87">
        <v>19</v>
      </c>
      <c r="AE99" s="88">
        <v>55</v>
      </c>
      <c r="AF99" s="78" t="s">
        <v>485</v>
      </c>
    </row>
    <row r="100" spans="1:32" ht="19.95" customHeight="1" x14ac:dyDescent="0.3">
      <c r="G100" s="16"/>
      <c r="K100" s="78" t="s">
        <v>388</v>
      </c>
      <c r="L100" s="79">
        <v>32</v>
      </c>
      <c r="M100" s="79">
        <v>10</v>
      </c>
      <c r="N100" s="80">
        <v>6.35</v>
      </c>
      <c r="O100" s="79">
        <v>5720</v>
      </c>
      <c r="P100" s="79">
        <v>14490</v>
      </c>
      <c r="Q100" s="79">
        <v>69</v>
      </c>
      <c r="R100" s="79">
        <v>78</v>
      </c>
      <c r="S100" s="78" t="s">
        <v>319</v>
      </c>
      <c r="T100" s="89" t="s">
        <v>125</v>
      </c>
      <c r="V100" s="85">
        <v>1.2</v>
      </c>
      <c r="W100" s="86">
        <v>3000</v>
      </c>
      <c r="X100" s="85">
        <v>4</v>
      </c>
      <c r="Y100" s="85">
        <v>5</v>
      </c>
      <c r="Z100" s="86">
        <v>7000</v>
      </c>
      <c r="AA100" s="85">
        <v>8</v>
      </c>
      <c r="AB100" s="38">
        <v>0</v>
      </c>
      <c r="AC100" s="85">
        <v>5.2</v>
      </c>
      <c r="AD100" s="87">
        <v>19</v>
      </c>
      <c r="AE100" s="88">
        <v>55</v>
      </c>
      <c r="AF100" s="78" t="s">
        <v>485</v>
      </c>
    </row>
    <row r="101" spans="1:32" ht="19.95" customHeight="1" x14ac:dyDescent="0.3">
      <c r="E101" s="16"/>
      <c r="F101" s="16"/>
      <c r="G101" s="16"/>
      <c r="K101" s="78" t="s">
        <v>389</v>
      </c>
      <c r="L101" s="79">
        <v>32</v>
      </c>
      <c r="M101" s="79">
        <v>15</v>
      </c>
      <c r="N101" s="80">
        <v>4.7619999999999996</v>
      </c>
      <c r="O101" s="79">
        <v>3860</v>
      </c>
      <c r="P101" s="79">
        <v>10850</v>
      </c>
      <c r="Q101" s="79">
        <v>80</v>
      </c>
      <c r="R101" s="79">
        <v>116</v>
      </c>
      <c r="S101" s="78" t="s">
        <v>319</v>
      </c>
      <c r="T101" s="89" t="s">
        <v>123</v>
      </c>
      <c r="V101" s="85">
        <v>1.5</v>
      </c>
      <c r="W101" s="86">
        <v>3000</v>
      </c>
      <c r="X101" s="85">
        <v>5</v>
      </c>
      <c r="Y101" s="85">
        <v>6</v>
      </c>
      <c r="Z101" s="86">
        <v>7000</v>
      </c>
      <c r="AA101" s="85">
        <v>10</v>
      </c>
      <c r="AB101" s="38">
        <v>0</v>
      </c>
      <c r="AC101" s="85">
        <v>5.8</v>
      </c>
      <c r="AD101" s="87">
        <v>19</v>
      </c>
      <c r="AE101" s="88">
        <v>55</v>
      </c>
      <c r="AF101" s="78" t="s">
        <v>485</v>
      </c>
    </row>
    <row r="102" spans="1:32" ht="19.95" customHeight="1" x14ac:dyDescent="0.3">
      <c r="E102" s="16"/>
      <c r="F102" s="16"/>
      <c r="G102" s="16"/>
      <c r="K102" s="78" t="s">
        <v>390</v>
      </c>
      <c r="L102" s="79">
        <v>32</v>
      </c>
      <c r="M102" s="79">
        <v>16</v>
      </c>
      <c r="N102" s="80">
        <v>5.556</v>
      </c>
      <c r="O102" s="79">
        <v>4860</v>
      </c>
      <c r="P102" s="79">
        <v>13280</v>
      </c>
      <c r="Q102" s="79">
        <v>79</v>
      </c>
      <c r="R102" s="79">
        <v>107</v>
      </c>
      <c r="S102" s="78" t="s">
        <v>319</v>
      </c>
      <c r="T102" s="89" t="s">
        <v>121</v>
      </c>
      <c r="V102" s="85">
        <v>1.2</v>
      </c>
      <c r="W102" s="86">
        <v>2000</v>
      </c>
      <c r="X102" s="85">
        <v>6</v>
      </c>
      <c r="Y102" s="85">
        <v>6</v>
      </c>
      <c r="Z102" s="86">
        <v>7000</v>
      </c>
      <c r="AA102" s="85">
        <v>12</v>
      </c>
      <c r="AB102" s="38">
        <v>0</v>
      </c>
      <c r="AC102" s="85">
        <v>6.4</v>
      </c>
      <c r="AD102" s="87">
        <v>19</v>
      </c>
      <c r="AE102" s="88">
        <v>55</v>
      </c>
      <c r="AF102" s="78" t="s">
        <v>485</v>
      </c>
    </row>
    <row r="103" spans="1:32" ht="19.95" customHeight="1" x14ac:dyDescent="0.3">
      <c r="A103" s="4" t="s">
        <v>60</v>
      </c>
      <c r="E103" s="16"/>
      <c r="F103" s="16"/>
      <c r="G103" s="16"/>
      <c r="K103" s="78" t="s">
        <v>391</v>
      </c>
      <c r="L103" s="79">
        <v>32</v>
      </c>
      <c r="M103" s="79">
        <v>16</v>
      </c>
      <c r="N103" s="80">
        <v>6.35</v>
      </c>
      <c r="O103" s="79">
        <v>4520</v>
      </c>
      <c r="P103" s="79">
        <v>11100</v>
      </c>
      <c r="Q103" s="79">
        <v>54</v>
      </c>
      <c r="R103" s="79">
        <v>92</v>
      </c>
      <c r="S103" s="78" t="s">
        <v>319</v>
      </c>
      <c r="T103" s="89" t="s">
        <v>119</v>
      </c>
      <c r="V103" s="85">
        <v>1.6</v>
      </c>
      <c r="W103" s="86">
        <v>3000</v>
      </c>
      <c r="X103" s="85">
        <v>6</v>
      </c>
      <c r="Y103" s="85">
        <v>8</v>
      </c>
      <c r="Z103" s="86">
        <v>7000</v>
      </c>
      <c r="AA103" s="85">
        <v>12</v>
      </c>
      <c r="AB103" s="38">
        <v>0</v>
      </c>
      <c r="AC103" s="85">
        <v>6.4</v>
      </c>
      <c r="AD103" s="87">
        <v>19</v>
      </c>
      <c r="AE103" s="88">
        <v>55</v>
      </c>
      <c r="AF103" s="78" t="s">
        <v>485</v>
      </c>
    </row>
    <row r="104" spans="1:32" ht="19.95" customHeight="1" x14ac:dyDescent="0.3">
      <c r="A104" s="30" t="s">
        <v>59</v>
      </c>
      <c r="B104" s="76" t="s">
        <v>4</v>
      </c>
      <c r="C104" s="76" t="s">
        <v>0</v>
      </c>
      <c r="E104" s="16"/>
      <c r="F104" s="16"/>
      <c r="G104" s="16"/>
      <c r="K104" s="78" t="s">
        <v>392</v>
      </c>
      <c r="L104" s="79">
        <v>32</v>
      </c>
      <c r="M104" s="79">
        <v>20</v>
      </c>
      <c r="N104" s="80">
        <v>4.7619999999999996</v>
      </c>
      <c r="O104" s="79">
        <v>1700</v>
      </c>
      <c r="P104" s="79">
        <v>4230</v>
      </c>
      <c r="Q104" s="79">
        <v>34</v>
      </c>
      <c r="R104" s="79">
        <v>70</v>
      </c>
      <c r="S104" s="78" t="s">
        <v>319</v>
      </c>
      <c r="T104" s="89" t="s">
        <v>116</v>
      </c>
      <c r="V104" s="85">
        <v>1.5</v>
      </c>
      <c r="W104" s="86">
        <v>1500</v>
      </c>
      <c r="X104" s="85">
        <v>10</v>
      </c>
      <c r="Y104" s="85">
        <v>6</v>
      </c>
      <c r="Z104" s="86">
        <v>7000</v>
      </c>
      <c r="AA104" s="85">
        <v>12</v>
      </c>
      <c r="AB104" s="38">
        <v>0</v>
      </c>
      <c r="AC104" s="85">
        <v>9.5</v>
      </c>
      <c r="AD104" s="87">
        <v>22</v>
      </c>
      <c r="AE104" s="88">
        <v>56</v>
      </c>
      <c r="AF104" s="78" t="s">
        <v>485</v>
      </c>
    </row>
    <row r="105" spans="1:32" ht="19.95" customHeight="1" x14ac:dyDescent="0.3">
      <c r="A105" s="23" t="s">
        <v>58</v>
      </c>
      <c r="B105" s="28">
        <v>5.0999999999999996</v>
      </c>
      <c r="C105" s="28">
        <v>1</v>
      </c>
      <c r="E105" s="16"/>
      <c r="F105" s="16"/>
      <c r="G105" s="16"/>
      <c r="K105" s="78" t="s">
        <v>393</v>
      </c>
      <c r="L105" s="79">
        <v>36</v>
      </c>
      <c r="M105" s="79">
        <v>10</v>
      </c>
      <c r="N105" s="80">
        <v>6.35</v>
      </c>
      <c r="O105" s="79">
        <v>6050</v>
      </c>
      <c r="P105" s="79">
        <v>16460</v>
      </c>
      <c r="Q105" s="79">
        <v>93</v>
      </c>
      <c r="R105" s="79">
        <v>78</v>
      </c>
      <c r="S105" s="78" t="s">
        <v>319</v>
      </c>
      <c r="T105" s="89" t="s">
        <v>113</v>
      </c>
      <c r="V105" s="85">
        <v>2.6</v>
      </c>
      <c r="W105" s="86">
        <v>2500</v>
      </c>
      <c r="X105" s="85">
        <v>10</v>
      </c>
      <c r="Y105" s="85">
        <v>10</v>
      </c>
      <c r="Z105" s="86">
        <v>7000</v>
      </c>
      <c r="AA105" s="85">
        <v>20</v>
      </c>
      <c r="AB105" s="38">
        <v>0</v>
      </c>
      <c r="AC105" s="85">
        <v>11.1</v>
      </c>
      <c r="AD105" s="87">
        <v>22</v>
      </c>
      <c r="AE105" s="88">
        <v>56</v>
      </c>
      <c r="AF105" s="78" t="s">
        <v>485</v>
      </c>
    </row>
    <row r="106" spans="1:32" ht="19.95" customHeight="1" x14ac:dyDescent="0.3">
      <c r="A106" s="71" t="s">
        <v>57</v>
      </c>
      <c r="B106" s="32">
        <v>10.199999999999999</v>
      </c>
      <c r="C106" s="32">
        <v>2</v>
      </c>
      <c r="E106" s="16"/>
      <c r="F106" s="16"/>
      <c r="G106" s="16"/>
      <c r="K106" s="78" t="s">
        <v>394</v>
      </c>
      <c r="L106" s="79">
        <v>36</v>
      </c>
      <c r="M106" s="79">
        <v>16</v>
      </c>
      <c r="N106" s="80">
        <v>6.35</v>
      </c>
      <c r="O106" s="79">
        <v>6050</v>
      </c>
      <c r="P106" s="79">
        <v>16360</v>
      </c>
      <c r="Q106" s="79">
        <v>93</v>
      </c>
      <c r="R106" s="79">
        <v>109</v>
      </c>
      <c r="S106" s="78" t="s">
        <v>319</v>
      </c>
      <c r="T106" s="89" t="s">
        <v>107</v>
      </c>
      <c r="V106" s="85">
        <v>2.2999999999999998</v>
      </c>
      <c r="W106" s="86">
        <v>1500</v>
      </c>
      <c r="X106" s="85">
        <v>15</v>
      </c>
      <c r="Y106" s="85">
        <v>9.5</v>
      </c>
      <c r="Z106" s="86">
        <v>7000</v>
      </c>
      <c r="AA106" s="85">
        <v>20</v>
      </c>
      <c r="AB106" s="38">
        <v>0</v>
      </c>
      <c r="AC106" s="85">
        <v>14.3</v>
      </c>
      <c r="AD106" s="87">
        <v>22</v>
      </c>
      <c r="AE106" s="88">
        <v>56</v>
      </c>
      <c r="AF106" s="78" t="s">
        <v>485</v>
      </c>
    </row>
    <row r="107" spans="1:32" ht="19.95" customHeight="1" x14ac:dyDescent="0.3">
      <c r="A107" s="72" t="s">
        <v>56</v>
      </c>
      <c r="B107" s="73">
        <v>1.3</v>
      </c>
      <c r="C107" s="73">
        <v>0.25</v>
      </c>
      <c r="E107" s="16"/>
      <c r="F107" s="16"/>
      <c r="G107" s="16"/>
      <c r="K107" s="78" t="s">
        <v>395</v>
      </c>
      <c r="L107" s="79">
        <v>36</v>
      </c>
      <c r="M107" s="79">
        <v>20</v>
      </c>
      <c r="N107" s="80">
        <v>6.35</v>
      </c>
      <c r="O107" s="79">
        <v>4910</v>
      </c>
      <c r="P107" s="79">
        <v>12890</v>
      </c>
      <c r="Q107" s="79">
        <v>76</v>
      </c>
      <c r="R107" s="79">
        <v>109</v>
      </c>
      <c r="S107" s="78" t="s">
        <v>319</v>
      </c>
      <c r="T107" s="89" t="s">
        <v>106</v>
      </c>
      <c r="V107" s="85">
        <v>3.8</v>
      </c>
      <c r="W107" s="86">
        <v>2500</v>
      </c>
      <c r="X107" s="85">
        <v>15</v>
      </c>
      <c r="Y107" s="85">
        <v>17</v>
      </c>
      <c r="Z107" s="86">
        <v>7000</v>
      </c>
      <c r="AA107" s="85">
        <v>34</v>
      </c>
      <c r="AB107" s="38">
        <v>0</v>
      </c>
      <c r="AC107" s="85">
        <v>14.3</v>
      </c>
      <c r="AD107" s="87">
        <v>22</v>
      </c>
      <c r="AE107" s="88">
        <v>56</v>
      </c>
      <c r="AF107" s="78" t="s">
        <v>485</v>
      </c>
    </row>
    <row r="108" spans="1:32" ht="19.95" customHeight="1" x14ac:dyDescent="0.3">
      <c r="A108" s="23" t="s">
        <v>55</v>
      </c>
      <c r="B108" s="28">
        <v>20.3</v>
      </c>
      <c r="C108" s="28">
        <v>4</v>
      </c>
      <c r="E108" s="16"/>
      <c r="F108" s="16"/>
      <c r="G108" s="16"/>
      <c r="K108" s="78" t="s">
        <v>396</v>
      </c>
      <c r="L108" s="79">
        <v>38</v>
      </c>
      <c r="M108" s="79">
        <v>10</v>
      </c>
      <c r="N108" s="80">
        <v>6.35</v>
      </c>
      <c r="O108" s="79">
        <v>6260</v>
      </c>
      <c r="P108" s="79">
        <v>17740</v>
      </c>
      <c r="Q108" s="79">
        <v>97</v>
      </c>
      <c r="R108" s="79">
        <v>80</v>
      </c>
      <c r="S108" s="78" t="s">
        <v>319</v>
      </c>
      <c r="T108" s="89" t="s">
        <v>103</v>
      </c>
      <c r="V108" s="85">
        <v>4</v>
      </c>
      <c r="W108" s="86">
        <v>3000</v>
      </c>
      <c r="X108" s="85">
        <v>14</v>
      </c>
      <c r="Y108" s="85">
        <v>17</v>
      </c>
      <c r="Z108" s="86">
        <v>7000</v>
      </c>
      <c r="AA108" s="85">
        <v>34</v>
      </c>
      <c r="AB108" s="38">
        <v>0</v>
      </c>
      <c r="AC108" s="85">
        <v>14.3</v>
      </c>
      <c r="AD108" s="87">
        <v>22</v>
      </c>
      <c r="AE108" s="88">
        <v>56</v>
      </c>
      <c r="AF108" s="78" t="s">
        <v>485</v>
      </c>
    </row>
    <row r="109" spans="1:32" ht="19.95" customHeight="1" x14ac:dyDescent="0.3">
      <c r="A109" s="31" t="s">
        <v>4</v>
      </c>
      <c r="B109" s="16">
        <f>INDEX($A$105:$C$108,MATCH($A$104,$A$105:$A$108),2)</f>
        <v>10.199999999999999</v>
      </c>
      <c r="E109" s="16"/>
      <c r="F109" s="16"/>
      <c r="G109" s="16"/>
      <c r="K109" s="78" t="s">
        <v>397</v>
      </c>
      <c r="L109" s="79">
        <v>38</v>
      </c>
      <c r="M109" s="79">
        <v>16</v>
      </c>
      <c r="N109" s="80">
        <v>6.35</v>
      </c>
      <c r="O109" s="79">
        <v>6220</v>
      </c>
      <c r="P109" s="79">
        <v>17350</v>
      </c>
      <c r="Q109" s="79">
        <v>97</v>
      </c>
      <c r="R109" s="79">
        <v>109</v>
      </c>
      <c r="S109" s="78" t="s">
        <v>319</v>
      </c>
      <c r="T109" s="89" t="s">
        <v>102</v>
      </c>
      <c r="V109" s="85">
        <v>1</v>
      </c>
      <c r="W109" s="86">
        <v>2500</v>
      </c>
      <c r="X109" s="85">
        <v>4</v>
      </c>
      <c r="Y109" s="85">
        <v>4</v>
      </c>
      <c r="Z109" s="86">
        <v>7000</v>
      </c>
      <c r="AA109" s="85">
        <v>8</v>
      </c>
      <c r="AB109" s="38">
        <v>0</v>
      </c>
      <c r="AC109" s="85">
        <v>7.4</v>
      </c>
      <c r="AD109" s="87">
        <v>22</v>
      </c>
      <c r="AE109" s="88">
        <v>56</v>
      </c>
      <c r="AF109" s="78" t="s">
        <v>485</v>
      </c>
    </row>
    <row r="110" spans="1:32" ht="19.95" customHeight="1" x14ac:dyDescent="0.3">
      <c r="A110" s="31" t="s">
        <v>0</v>
      </c>
      <c r="B110" s="16">
        <f>INDEX($A$105:$C$108,MATCH($A$104,$A$105:$A$108),3)</f>
        <v>2</v>
      </c>
      <c r="E110" s="16"/>
      <c r="F110" s="16"/>
      <c r="G110" s="16"/>
      <c r="K110" s="78" t="s">
        <v>398</v>
      </c>
      <c r="L110" s="79">
        <v>40</v>
      </c>
      <c r="M110" s="79">
        <v>10</v>
      </c>
      <c r="N110" s="80">
        <v>6.35</v>
      </c>
      <c r="O110" s="79">
        <v>6430</v>
      </c>
      <c r="P110" s="79">
        <v>18440</v>
      </c>
      <c r="Q110" s="79">
        <v>101</v>
      </c>
      <c r="R110" s="79">
        <v>78</v>
      </c>
      <c r="S110" s="78" t="s">
        <v>319</v>
      </c>
      <c r="T110" s="89" t="s">
        <v>101</v>
      </c>
      <c r="V110" s="85">
        <v>1</v>
      </c>
      <c r="W110" s="86">
        <v>2000</v>
      </c>
      <c r="X110" s="85">
        <v>5</v>
      </c>
      <c r="Y110" s="85">
        <v>5</v>
      </c>
      <c r="Z110" s="86">
        <v>7000</v>
      </c>
      <c r="AA110" s="85">
        <v>10</v>
      </c>
      <c r="AB110" s="38">
        <v>0</v>
      </c>
      <c r="AC110" s="85">
        <v>7.9</v>
      </c>
      <c r="AD110" s="87">
        <v>22</v>
      </c>
      <c r="AE110" s="88">
        <v>56</v>
      </c>
      <c r="AF110" s="78" t="s">
        <v>485</v>
      </c>
    </row>
    <row r="111" spans="1:32" ht="19.95" customHeight="1" x14ac:dyDescent="0.3">
      <c r="G111" s="16"/>
      <c r="K111" s="78" t="s">
        <v>399</v>
      </c>
      <c r="L111" s="79">
        <v>40</v>
      </c>
      <c r="M111" s="79">
        <v>12</v>
      </c>
      <c r="N111" s="80">
        <v>6</v>
      </c>
      <c r="O111" s="79">
        <v>6420</v>
      </c>
      <c r="P111" s="79">
        <v>18410</v>
      </c>
      <c r="Q111" s="79">
        <v>101</v>
      </c>
      <c r="R111" s="79">
        <v>88</v>
      </c>
      <c r="S111" s="78" t="s">
        <v>43</v>
      </c>
      <c r="T111" s="89" t="s">
        <v>100</v>
      </c>
      <c r="V111" s="85">
        <v>1.3</v>
      </c>
      <c r="W111" s="86">
        <v>2500</v>
      </c>
      <c r="X111" s="85">
        <v>5</v>
      </c>
      <c r="Y111" s="85">
        <v>5</v>
      </c>
      <c r="Z111" s="86">
        <v>7000</v>
      </c>
      <c r="AA111" s="85">
        <v>10</v>
      </c>
      <c r="AB111" s="38">
        <v>0</v>
      </c>
      <c r="AC111" s="85">
        <v>7.9</v>
      </c>
      <c r="AD111" s="87">
        <v>22</v>
      </c>
      <c r="AE111" s="88">
        <v>56</v>
      </c>
      <c r="AF111" s="78" t="s">
        <v>485</v>
      </c>
    </row>
    <row r="112" spans="1:32" ht="19.95" customHeight="1" x14ac:dyDescent="0.3">
      <c r="A112" s="4" t="s">
        <v>63</v>
      </c>
      <c r="C112" s="18"/>
      <c r="E112" s="16"/>
      <c r="F112" s="16"/>
      <c r="G112" s="16"/>
      <c r="K112" s="78" t="s">
        <v>400</v>
      </c>
      <c r="L112" s="79">
        <v>40</v>
      </c>
      <c r="M112" s="79">
        <v>12</v>
      </c>
      <c r="N112" s="80">
        <v>7.1440000000000001</v>
      </c>
      <c r="O112" s="79">
        <v>7530</v>
      </c>
      <c r="P112" s="79">
        <v>20800</v>
      </c>
      <c r="Q112" s="79">
        <v>103</v>
      </c>
      <c r="R112" s="79">
        <v>110</v>
      </c>
      <c r="S112" s="78" t="s">
        <v>319</v>
      </c>
      <c r="T112" s="89" t="s">
        <v>98</v>
      </c>
      <c r="V112" s="85">
        <v>1.5</v>
      </c>
      <c r="W112" s="86">
        <v>2500</v>
      </c>
      <c r="X112" s="85">
        <v>6</v>
      </c>
      <c r="Y112" s="85">
        <v>6</v>
      </c>
      <c r="Z112" s="86">
        <v>7000</v>
      </c>
      <c r="AA112" s="85">
        <v>12</v>
      </c>
      <c r="AB112" s="38">
        <v>0</v>
      </c>
      <c r="AC112" s="85">
        <v>8.6</v>
      </c>
      <c r="AD112" s="87">
        <v>22</v>
      </c>
      <c r="AE112" s="88">
        <v>56</v>
      </c>
      <c r="AF112" s="78" t="s">
        <v>485</v>
      </c>
    </row>
    <row r="113" spans="1:39" ht="19.95" customHeight="1" x14ac:dyDescent="0.3">
      <c r="G113" s="16"/>
      <c r="K113" s="78" t="s">
        <v>401</v>
      </c>
      <c r="L113" s="79">
        <v>40</v>
      </c>
      <c r="M113" s="79">
        <v>16</v>
      </c>
      <c r="N113" s="80">
        <v>6.35</v>
      </c>
      <c r="O113" s="79">
        <v>6390</v>
      </c>
      <c r="P113" s="79">
        <v>18330</v>
      </c>
      <c r="Q113" s="79">
        <v>101</v>
      </c>
      <c r="R113" s="79">
        <v>108</v>
      </c>
      <c r="S113" s="78" t="s">
        <v>319</v>
      </c>
      <c r="T113" s="89" t="s">
        <v>95</v>
      </c>
      <c r="V113" s="85">
        <v>1.6</v>
      </c>
      <c r="W113" s="86">
        <v>2000</v>
      </c>
      <c r="X113" s="85">
        <v>7.7</v>
      </c>
      <c r="Y113" s="85">
        <v>6</v>
      </c>
      <c r="Z113" s="86">
        <v>7000</v>
      </c>
      <c r="AA113" s="85">
        <v>12</v>
      </c>
      <c r="AB113" s="38">
        <v>0</v>
      </c>
      <c r="AC113" s="85">
        <v>9.5</v>
      </c>
      <c r="AD113" s="87">
        <v>22</v>
      </c>
      <c r="AE113" s="88">
        <v>56</v>
      </c>
      <c r="AF113" s="78" t="s">
        <v>485</v>
      </c>
    </row>
    <row r="114" spans="1:39" ht="19.95" customHeight="1" x14ac:dyDescent="0.3">
      <c r="K114" s="78" t="s">
        <v>402</v>
      </c>
      <c r="L114" s="79">
        <v>40</v>
      </c>
      <c r="M114" s="79">
        <v>16</v>
      </c>
      <c r="N114" s="80">
        <v>7.1440000000000001</v>
      </c>
      <c r="O114" s="79">
        <v>7500</v>
      </c>
      <c r="P114" s="79">
        <v>20730</v>
      </c>
      <c r="Q114" s="79">
        <v>103</v>
      </c>
      <c r="R114" s="79">
        <v>110</v>
      </c>
      <c r="S114" s="78" t="s">
        <v>319</v>
      </c>
      <c r="T114" s="89" t="s">
        <v>94</v>
      </c>
      <c r="V114" s="85">
        <v>2</v>
      </c>
      <c r="W114" s="86">
        <v>2500</v>
      </c>
      <c r="X114" s="85">
        <v>7.7</v>
      </c>
      <c r="Y114" s="85">
        <v>6.9</v>
      </c>
      <c r="Z114" s="86">
        <v>7000</v>
      </c>
      <c r="AA114" s="85">
        <v>14</v>
      </c>
      <c r="AB114" s="38">
        <v>0</v>
      </c>
      <c r="AC114" s="85">
        <v>9.5</v>
      </c>
      <c r="AD114" s="87">
        <v>22</v>
      </c>
      <c r="AE114" s="88">
        <v>48</v>
      </c>
      <c r="AF114" s="78" t="s">
        <v>485</v>
      </c>
    </row>
    <row r="115" spans="1:39" ht="19.95" customHeight="1" x14ac:dyDescent="0.3">
      <c r="K115" s="78" t="s">
        <v>403</v>
      </c>
      <c r="L115" s="79">
        <v>40</v>
      </c>
      <c r="M115" s="79">
        <v>20</v>
      </c>
      <c r="N115" s="80">
        <v>6.35</v>
      </c>
      <c r="O115" s="79">
        <v>5190</v>
      </c>
      <c r="P115" s="79">
        <v>14450</v>
      </c>
      <c r="Q115" s="79">
        <v>82</v>
      </c>
      <c r="R115" s="79">
        <v>110</v>
      </c>
      <c r="S115" s="78" t="s">
        <v>319</v>
      </c>
      <c r="T115" s="89" t="s">
        <v>92</v>
      </c>
      <c r="V115" s="85">
        <v>2.4</v>
      </c>
      <c r="W115" s="86">
        <v>3000</v>
      </c>
      <c r="X115" s="85">
        <v>7.7</v>
      </c>
      <c r="Y115" s="85">
        <v>9</v>
      </c>
      <c r="Z115" s="86">
        <v>7000</v>
      </c>
      <c r="AA115" s="85">
        <v>18</v>
      </c>
      <c r="AB115" s="38">
        <v>0</v>
      </c>
      <c r="AC115" s="85">
        <v>9.5</v>
      </c>
      <c r="AD115" s="87">
        <v>22</v>
      </c>
      <c r="AE115" s="88">
        <v>56</v>
      </c>
      <c r="AF115" s="78" t="s">
        <v>485</v>
      </c>
    </row>
    <row r="116" spans="1:39" ht="19.95" customHeight="1" x14ac:dyDescent="0.3">
      <c r="A116" s="4" t="s">
        <v>62</v>
      </c>
      <c r="B116" s="11">
        <f>+B32*B14^2/(B126*10^7)</f>
        <v>7.8401372549019612</v>
      </c>
      <c r="C116" s="9" t="s">
        <v>19</v>
      </c>
      <c r="D116" s="4" t="s">
        <v>61</v>
      </c>
      <c r="E116" s="14">
        <f>+$B$8</f>
        <v>25</v>
      </c>
      <c r="F116" s="9" t="s">
        <v>19</v>
      </c>
      <c r="K116" s="78" t="s">
        <v>404</v>
      </c>
      <c r="L116" s="79">
        <v>45</v>
      </c>
      <c r="M116" s="79">
        <v>10</v>
      </c>
      <c r="N116" s="80">
        <v>6.35</v>
      </c>
      <c r="O116" s="79">
        <v>6910</v>
      </c>
      <c r="P116" s="79">
        <v>21330</v>
      </c>
      <c r="Q116" s="79">
        <v>110</v>
      </c>
      <c r="R116" s="79">
        <v>78</v>
      </c>
      <c r="S116" s="78" t="s">
        <v>43</v>
      </c>
      <c r="T116" s="89" t="s">
        <v>89</v>
      </c>
      <c r="V116" s="85">
        <v>1.7</v>
      </c>
      <c r="W116" s="86">
        <v>1000</v>
      </c>
      <c r="X116" s="85">
        <v>16</v>
      </c>
      <c r="Y116" s="85">
        <v>2.9</v>
      </c>
      <c r="Z116" s="86">
        <v>7000</v>
      </c>
      <c r="AA116" s="85">
        <v>42.1</v>
      </c>
      <c r="AB116" s="38">
        <v>0</v>
      </c>
      <c r="AC116" s="85">
        <v>21</v>
      </c>
      <c r="AD116" s="87">
        <v>24</v>
      </c>
      <c r="AE116" s="88">
        <v>50</v>
      </c>
      <c r="AF116" s="78" t="s">
        <v>485</v>
      </c>
    </row>
    <row r="117" spans="1:39" ht="19.95" customHeight="1" x14ac:dyDescent="0.3">
      <c r="A117" s="10"/>
      <c r="K117" s="78" t="s">
        <v>405</v>
      </c>
      <c r="L117" s="79">
        <v>45</v>
      </c>
      <c r="M117" s="79">
        <v>12</v>
      </c>
      <c r="N117" s="80">
        <v>6.35</v>
      </c>
      <c r="O117" s="79">
        <v>6910</v>
      </c>
      <c r="P117" s="79">
        <v>21310</v>
      </c>
      <c r="Q117" s="79">
        <v>110</v>
      </c>
      <c r="R117" s="79">
        <v>89</v>
      </c>
      <c r="S117" s="78" t="s">
        <v>43</v>
      </c>
      <c r="T117" s="89" t="s">
        <v>86</v>
      </c>
      <c r="V117" s="85">
        <v>2.5</v>
      </c>
      <c r="W117" s="86">
        <v>1500</v>
      </c>
      <c r="X117" s="85">
        <v>16</v>
      </c>
      <c r="Y117" s="85">
        <v>4.3</v>
      </c>
      <c r="Z117" s="86">
        <v>7000</v>
      </c>
      <c r="AA117" s="85">
        <v>42.1</v>
      </c>
      <c r="AB117" s="38">
        <v>0</v>
      </c>
      <c r="AC117" s="85">
        <v>21</v>
      </c>
      <c r="AD117" s="87">
        <v>24</v>
      </c>
      <c r="AE117" s="88">
        <v>50</v>
      </c>
      <c r="AF117" s="78" t="s">
        <v>485</v>
      </c>
    </row>
    <row r="118" spans="1:39" ht="19.95" customHeight="1" x14ac:dyDescent="0.3">
      <c r="F118" s="91"/>
      <c r="K118" s="78" t="s">
        <v>406</v>
      </c>
      <c r="L118" s="79">
        <v>45</v>
      </c>
      <c r="M118" s="79">
        <v>16</v>
      </c>
      <c r="N118" s="80">
        <v>6.35</v>
      </c>
      <c r="O118" s="79">
        <v>6880</v>
      </c>
      <c r="P118" s="79">
        <v>21250</v>
      </c>
      <c r="Q118" s="79">
        <v>110</v>
      </c>
      <c r="R118" s="79">
        <v>111</v>
      </c>
      <c r="S118" s="78" t="s">
        <v>43</v>
      </c>
      <c r="T118" s="89" t="s">
        <v>84</v>
      </c>
      <c r="V118" s="85">
        <v>3.3</v>
      </c>
      <c r="W118" s="86">
        <v>2000</v>
      </c>
      <c r="X118" s="85">
        <v>16</v>
      </c>
      <c r="Y118" s="85">
        <v>5.7</v>
      </c>
      <c r="Z118" s="86">
        <v>7000</v>
      </c>
      <c r="AA118" s="85">
        <v>42.1</v>
      </c>
      <c r="AB118" s="38">
        <v>0</v>
      </c>
      <c r="AC118" s="85">
        <v>21</v>
      </c>
      <c r="AD118" s="87">
        <v>24</v>
      </c>
      <c r="AE118" s="88">
        <v>50</v>
      </c>
      <c r="AF118" s="78" t="s">
        <v>485</v>
      </c>
    </row>
    <row r="119" spans="1:39" ht="19.95" customHeight="1" x14ac:dyDescent="0.3">
      <c r="K119" s="78" t="s">
        <v>407</v>
      </c>
      <c r="L119" s="79">
        <v>50</v>
      </c>
      <c r="M119" s="79">
        <v>10</v>
      </c>
      <c r="N119" s="80">
        <v>6.35</v>
      </c>
      <c r="O119" s="79">
        <v>7160</v>
      </c>
      <c r="P119" s="79">
        <v>23320</v>
      </c>
      <c r="Q119" s="79">
        <v>119</v>
      </c>
      <c r="R119" s="79">
        <v>78</v>
      </c>
      <c r="S119" s="78" t="s">
        <v>43</v>
      </c>
      <c r="T119" s="89" t="s">
        <v>84</v>
      </c>
      <c r="V119" s="85">
        <v>3.3</v>
      </c>
      <c r="W119" s="86">
        <v>2000</v>
      </c>
      <c r="X119" s="85">
        <v>16</v>
      </c>
      <c r="Y119" s="85">
        <v>5.7</v>
      </c>
      <c r="Z119" s="86">
        <v>7000</v>
      </c>
      <c r="AA119" s="85">
        <v>42.1</v>
      </c>
      <c r="AB119" s="38">
        <v>0</v>
      </c>
      <c r="AC119" s="85">
        <v>21</v>
      </c>
      <c r="AD119" s="87">
        <v>24</v>
      </c>
      <c r="AE119" s="88">
        <v>50</v>
      </c>
      <c r="AF119" s="78" t="s">
        <v>485</v>
      </c>
    </row>
    <row r="120" spans="1:39" ht="19.95" customHeight="1" x14ac:dyDescent="0.3">
      <c r="A120" s="4" t="s">
        <v>60</v>
      </c>
      <c r="D120" s="10"/>
      <c r="K120" s="78" t="s">
        <v>408</v>
      </c>
      <c r="L120" s="79">
        <v>50</v>
      </c>
      <c r="M120" s="79">
        <v>12</v>
      </c>
      <c r="N120" s="80">
        <v>6.35</v>
      </c>
      <c r="O120" s="79">
        <v>7150</v>
      </c>
      <c r="P120" s="79">
        <v>23300</v>
      </c>
      <c r="Q120" s="79">
        <v>119</v>
      </c>
      <c r="R120" s="79">
        <v>90</v>
      </c>
      <c r="S120" s="78" t="s">
        <v>43</v>
      </c>
      <c r="T120" s="89" t="s">
        <v>84</v>
      </c>
      <c r="V120" s="85">
        <v>3.3</v>
      </c>
      <c r="W120" s="86">
        <v>2000</v>
      </c>
      <c r="X120" s="85">
        <v>16</v>
      </c>
      <c r="Y120" s="85">
        <v>5.7</v>
      </c>
      <c r="Z120" s="86">
        <v>7000</v>
      </c>
      <c r="AA120" s="85">
        <v>42.1</v>
      </c>
      <c r="AB120" s="38">
        <v>0</v>
      </c>
      <c r="AC120" s="85">
        <v>21</v>
      </c>
      <c r="AD120" s="87">
        <v>24</v>
      </c>
      <c r="AE120" s="88">
        <v>50</v>
      </c>
      <c r="AF120" s="78" t="s">
        <v>485</v>
      </c>
    </row>
    <row r="121" spans="1:39" ht="19.95" customHeight="1" x14ac:dyDescent="0.3">
      <c r="A121" s="30" t="s">
        <v>59</v>
      </c>
      <c r="B121" s="76" t="s">
        <v>54</v>
      </c>
      <c r="C121" s="76" t="s">
        <v>53</v>
      </c>
      <c r="K121" s="78" t="s">
        <v>409</v>
      </c>
      <c r="L121" s="79">
        <v>50</v>
      </c>
      <c r="M121" s="79">
        <v>16</v>
      </c>
      <c r="N121" s="80">
        <v>6.35</v>
      </c>
      <c r="O121" s="79">
        <v>7120</v>
      </c>
      <c r="P121" s="79">
        <v>23250</v>
      </c>
      <c r="Q121" s="79">
        <v>119</v>
      </c>
      <c r="R121" s="79">
        <v>109</v>
      </c>
      <c r="S121" s="78" t="s">
        <v>43</v>
      </c>
      <c r="T121" s="89" t="s">
        <v>84</v>
      </c>
      <c r="V121" s="85">
        <v>3.3</v>
      </c>
      <c r="W121" s="86">
        <v>2000</v>
      </c>
      <c r="X121" s="85">
        <v>16</v>
      </c>
      <c r="Y121" s="85">
        <v>5.7</v>
      </c>
      <c r="Z121" s="86">
        <v>7000</v>
      </c>
      <c r="AA121" s="85">
        <v>42.1</v>
      </c>
      <c r="AB121" s="38">
        <v>0</v>
      </c>
      <c r="AC121" s="85">
        <v>21</v>
      </c>
      <c r="AD121" s="87">
        <v>24</v>
      </c>
      <c r="AE121" s="88">
        <v>50</v>
      </c>
      <c r="AF121" s="78" t="s">
        <v>485</v>
      </c>
    </row>
    <row r="122" spans="1:39" ht="19.95" customHeight="1" x14ac:dyDescent="0.3">
      <c r="A122" s="23" t="s">
        <v>58</v>
      </c>
      <c r="B122" s="28">
        <v>5.0999999999999996</v>
      </c>
      <c r="C122" s="28">
        <v>1</v>
      </c>
      <c r="K122" s="78" t="s">
        <v>410</v>
      </c>
      <c r="L122" s="79">
        <v>50</v>
      </c>
      <c r="M122" s="79">
        <v>20</v>
      </c>
      <c r="N122" s="80">
        <v>7.9379999999999997</v>
      </c>
      <c r="O122" s="79">
        <v>7810</v>
      </c>
      <c r="P122" s="79">
        <v>22680</v>
      </c>
      <c r="Q122" s="79">
        <v>101</v>
      </c>
      <c r="R122" s="79">
        <v>114</v>
      </c>
      <c r="S122" s="78" t="s">
        <v>43</v>
      </c>
      <c r="T122" s="89" t="s">
        <v>83</v>
      </c>
      <c r="V122" s="85">
        <v>5</v>
      </c>
      <c r="W122" s="86">
        <v>3000</v>
      </c>
      <c r="X122" s="85">
        <v>16</v>
      </c>
      <c r="Y122" s="85">
        <v>8.6</v>
      </c>
      <c r="Z122" s="86">
        <v>7000</v>
      </c>
      <c r="AA122" s="85">
        <v>42.1</v>
      </c>
      <c r="AB122" s="38">
        <v>0</v>
      </c>
      <c r="AC122" s="85">
        <v>21</v>
      </c>
      <c r="AD122" s="87">
        <v>24</v>
      </c>
      <c r="AE122" s="88">
        <v>50</v>
      </c>
      <c r="AF122" s="78" t="s">
        <v>485</v>
      </c>
    </row>
    <row r="123" spans="1:39" ht="19.95" customHeight="1" x14ac:dyDescent="0.3">
      <c r="A123" s="23" t="s">
        <v>57</v>
      </c>
      <c r="B123" s="28">
        <v>10.199999999999999</v>
      </c>
      <c r="C123" s="28">
        <v>2</v>
      </c>
      <c r="D123" s="10"/>
      <c r="E123" s="10"/>
      <c r="F123" s="10"/>
      <c r="G123" s="10"/>
      <c r="K123" s="78" t="s">
        <v>411</v>
      </c>
      <c r="L123" s="79">
        <v>55</v>
      </c>
      <c r="M123" s="79">
        <v>12</v>
      </c>
      <c r="N123" s="80">
        <v>6.35</v>
      </c>
      <c r="O123" s="79">
        <v>7340</v>
      </c>
      <c r="P123" s="79">
        <v>25280</v>
      </c>
      <c r="Q123" s="79">
        <v>128</v>
      </c>
      <c r="R123" s="79">
        <v>96</v>
      </c>
      <c r="S123" s="78" t="s">
        <v>43</v>
      </c>
      <c r="T123" s="89" t="s">
        <v>82</v>
      </c>
      <c r="V123" s="85">
        <v>7</v>
      </c>
      <c r="W123" s="86">
        <v>1500</v>
      </c>
      <c r="X123" s="85">
        <v>45</v>
      </c>
      <c r="Y123" s="85">
        <v>11.2</v>
      </c>
      <c r="Z123" s="86">
        <v>7000</v>
      </c>
      <c r="AA123" s="85">
        <v>108</v>
      </c>
      <c r="AB123" s="38">
        <v>0</v>
      </c>
      <c r="AC123" s="85">
        <v>30</v>
      </c>
      <c r="AD123" s="87">
        <v>24</v>
      </c>
      <c r="AE123" s="88">
        <v>60</v>
      </c>
      <c r="AF123" s="78" t="s">
        <v>485</v>
      </c>
    </row>
    <row r="124" spans="1:39" ht="19.95" customHeight="1" x14ac:dyDescent="0.3">
      <c r="A124" s="23" t="s">
        <v>56</v>
      </c>
      <c r="B124" s="28">
        <v>1.3</v>
      </c>
      <c r="C124" s="28">
        <v>0.25</v>
      </c>
      <c r="D124" s="10"/>
      <c r="E124" s="10"/>
      <c r="F124" s="10"/>
      <c r="G124" s="10"/>
      <c r="K124" s="78" t="s">
        <v>412</v>
      </c>
      <c r="L124" s="79">
        <v>45</v>
      </c>
      <c r="M124" s="79">
        <v>12</v>
      </c>
      <c r="N124" s="80">
        <v>10</v>
      </c>
      <c r="O124" s="79">
        <v>13600</v>
      </c>
      <c r="P124" s="79">
        <v>35400</v>
      </c>
      <c r="Q124" s="79"/>
      <c r="R124" s="79">
        <v>98</v>
      </c>
      <c r="S124" s="78" t="s">
        <v>43</v>
      </c>
      <c r="T124" s="89" t="s">
        <v>550</v>
      </c>
      <c r="V124" s="85">
        <v>13</v>
      </c>
      <c r="W124" s="87">
        <v>3000</v>
      </c>
      <c r="X124" s="88">
        <v>45</v>
      </c>
      <c r="Y124" s="85">
        <v>22.4</v>
      </c>
      <c r="Z124" s="87">
        <v>7000</v>
      </c>
      <c r="AA124" s="88">
        <v>108</v>
      </c>
      <c r="AB124" s="38">
        <v>0</v>
      </c>
      <c r="AC124" s="85">
        <v>30</v>
      </c>
      <c r="AD124" s="87">
        <v>24</v>
      </c>
      <c r="AE124" s="88">
        <v>60</v>
      </c>
      <c r="AF124" s="78" t="s">
        <v>485</v>
      </c>
      <c r="AI124" s="10"/>
      <c r="AJ124" s="10"/>
      <c r="AK124" s="10"/>
      <c r="AL124" s="10"/>
      <c r="AM124" s="10"/>
    </row>
    <row r="125" spans="1:39" ht="19.95" customHeight="1" x14ac:dyDescent="0.3">
      <c r="A125" s="23" t="s">
        <v>55</v>
      </c>
      <c r="B125" s="28">
        <v>20.3</v>
      </c>
      <c r="C125" s="28">
        <v>4</v>
      </c>
      <c r="D125" s="10"/>
      <c r="E125" s="10"/>
      <c r="F125" s="10"/>
      <c r="G125" s="10"/>
      <c r="K125" s="78" t="s">
        <v>413</v>
      </c>
      <c r="L125" s="79">
        <v>45</v>
      </c>
      <c r="M125" s="79">
        <v>16</v>
      </c>
      <c r="N125" s="80">
        <v>10</v>
      </c>
      <c r="O125" s="79">
        <v>13500</v>
      </c>
      <c r="P125" s="79">
        <v>35300</v>
      </c>
      <c r="Q125" s="79"/>
      <c r="R125" s="79">
        <v>122</v>
      </c>
      <c r="S125" s="78" t="s">
        <v>43</v>
      </c>
      <c r="T125" s="89" t="s">
        <v>80</v>
      </c>
      <c r="V125" s="85">
        <v>7.1</v>
      </c>
      <c r="W125" s="86">
        <v>1500</v>
      </c>
      <c r="X125" s="85">
        <v>45</v>
      </c>
      <c r="Y125" s="85">
        <v>13.5</v>
      </c>
      <c r="Z125" s="86">
        <v>4000</v>
      </c>
      <c r="AA125" s="85">
        <v>121.5</v>
      </c>
      <c r="AB125" s="38">
        <v>0</v>
      </c>
      <c r="AC125" s="85">
        <v>35</v>
      </c>
      <c r="AD125" s="87">
        <v>42</v>
      </c>
      <c r="AE125" s="88">
        <v>80</v>
      </c>
      <c r="AF125" s="78" t="s">
        <v>485</v>
      </c>
      <c r="AG125" s="10"/>
      <c r="AH125" s="10"/>
      <c r="AI125" s="10"/>
      <c r="AJ125" s="10"/>
      <c r="AK125" s="10"/>
      <c r="AL125" s="10"/>
      <c r="AM125" s="10"/>
    </row>
    <row r="126" spans="1:39" ht="19.95" customHeight="1" x14ac:dyDescent="0.3">
      <c r="A126" s="31" t="s">
        <v>54</v>
      </c>
      <c r="B126" s="16">
        <f>INDEX($A$122:$C$125,MATCH($A$121,$A$122:$A$125),2)</f>
        <v>10.199999999999999</v>
      </c>
      <c r="C126" s="10"/>
      <c r="D126" s="10"/>
      <c r="E126" s="10"/>
      <c r="F126" s="10"/>
      <c r="G126" s="10"/>
      <c r="H126" s="10"/>
      <c r="I126" s="10"/>
      <c r="J126" s="10"/>
      <c r="K126" s="78" t="s">
        <v>414</v>
      </c>
      <c r="L126" s="79">
        <v>45</v>
      </c>
      <c r="M126" s="79">
        <v>20</v>
      </c>
      <c r="N126" s="80">
        <v>10</v>
      </c>
      <c r="O126" s="79">
        <v>11000</v>
      </c>
      <c r="P126" s="79">
        <v>27900</v>
      </c>
      <c r="Q126" s="79"/>
      <c r="R126" s="79">
        <v>122</v>
      </c>
      <c r="S126" s="78" t="s">
        <v>43</v>
      </c>
      <c r="T126" s="89" t="s">
        <v>551</v>
      </c>
      <c r="V126" s="85">
        <v>14.25</v>
      </c>
      <c r="W126" s="86">
        <v>3000</v>
      </c>
      <c r="X126" s="85">
        <v>45</v>
      </c>
      <c r="Y126" s="85">
        <v>27</v>
      </c>
      <c r="Z126" s="86">
        <v>4000</v>
      </c>
      <c r="AA126" s="85">
        <v>121.5</v>
      </c>
      <c r="AB126" s="38">
        <v>0</v>
      </c>
      <c r="AC126" s="85">
        <v>35</v>
      </c>
      <c r="AD126" s="87">
        <v>42</v>
      </c>
      <c r="AE126" s="88">
        <v>80</v>
      </c>
      <c r="AF126" s="78" t="s">
        <v>485</v>
      </c>
      <c r="AG126" s="10"/>
      <c r="AH126" s="10"/>
      <c r="AI126" s="10"/>
      <c r="AJ126" s="10"/>
      <c r="AK126" s="10"/>
      <c r="AL126" s="10"/>
      <c r="AM126" s="10"/>
    </row>
    <row r="127" spans="1:39" ht="19.95" customHeight="1" x14ac:dyDescent="0.3">
      <c r="A127" s="31" t="s">
        <v>53</v>
      </c>
      <c r="B127" s="16">
        <f>INDEX($A$122:$C$125,MATCH($A$121,$A$122:$A$125),3)</f>
        <v>2</v>
      </c>
      <c r="C127" s="10"/>
      <c r="D127" s="10"/>
      <c r="E127" s="10"/>
      <c r="F127" s="10"/>
      <c r="G127" s="10"/>
      <c r="H127" s="10"/>
      <c r="I127" s="10"/>
      <c r="J127" s="10"/>
      <c r="K127" s="78" t="s">
        <v>415</v>
      </c>
      <c r="L127" s="79">
        <v>50</v>
      </c>
      <c r="M127" s="79">
        <v>16</v>
      </c>
      <c r="N127" s="80">
        <v>13</v>
      </c>
      <c r="O127" s="79">
        <v>21100</v>
      </c>
      <c r="P127" s="79">
        <v>53700</v>
      </c>
      <c r="Q127" s="79"/>
      <c r="R127" s="79">
        <v>125</v>
      </c>
      <c r="S127" s="78" t="s">
        <v>43</v>
      </c>
      <c r="T127" s="89" t="s">
        <v>552</v>
      </c>
      <c r="V127" s="85">
        <v>8.3000000000000007</v>
      </c>
      <c r="W127" s="86">
        <v>1500</v>
      </c>
      <c r="X127" s="85">
        <v>52</v>
      </c>
      <c r="Y127" s="85">
        <v>15.8</v>
      </c>
      <c r="Z127" s="86">
        <v>4000</v>
      </c>
      <c r="AA127" s="85">
        <v>140.9</v>
      </c>
      <c r="AB127" s="38">
        <v>0</v>
      </c>
      <c r="AC127" s="85">
        <v>45</v>
      </c>
      <c r="AD127" s="87">
        <v>42</v>
      </c>
      <c r="AE127" s="88">
        <v>80</v>
      </c>
      <c r="AF127" s="78" t="s">
        <v>485</v>
      </c>
      <c r="AG127" s="10"/>
      <c r="AH127" s="10"/>
      <c r="AI127" s="10"/>
      <c r="AJ127" s="10"/>
      <c r="AK127" s="10"/>
      <c r="AL127" s="10"/>
      <c r="AM127" s="10"/>
    </row>
    <row r="128" spans="1:39" s="10" customFormat="1" ht="19.95" customHeight="1" x14ac:dyDescent="0.3">
      <c r="K128" s="78" t="s">
        <v>416</v>
      </c>
      <c r="L128" s="79">
        <v>50</v>
      </c>
      <c r="M128" s="79">
        <v>20</v>
      </c>
      <c r="N128" s="80">
        <v>13</v>
      </c>
      <c r="O128" s="79">
        <v>17200</v>
      </c>
      <c r="P128" s="79">
        <v>42400</v>
      </c>
      <c r="Q128" s="79"/>
      <c r="R128" s="79">
        <v>124</v>
      </c>
      <c r="S128" s="78" t="s">
        <v>43</v>
      </c>
      <c r="T128" s="89" t="s">
        <v>553</v>
      </c>
      <c r="U128" s="9"/>
      <c r="V128" s="85">
        <v>16.5</v>
      </c>
      <c r="W128" s="86">
        <v>3000</v>
      </c>
      <c r="X128" s="85">
        <v>52</v>
      </c>
      <c r="Y128" s="85">
        <v>31.5</v>
      </c>
      <c r="Z128" s="86">
        <v>4000</v>
      </c>
      <c r="AA128" s="85">
        <v>140.9</v>
      </c>
      <c r="AB128" s="38">
        <v>0</v>
      </c>
      <c r="AC128" s="85">
        <v>45</v>
      </c>
      <c r="AD128" s="87">
        <v>42</v>
      </c>
      <c r="AE128" s="88">
        <v>80</v>
      </c>
      <c r="AF128" s="78" t="s">
        <v>485</v>
      </c>
    </row>
    <row r="129" spans="1:39" s="10" customFormat="1" ht="19.95" customHeight="1" x14ac:dyDescent="0.3">
      <c r="A129" s="4" t="s">
        <v>52</v>
      </c>
      <c r="B129" s="91">
        <f>+ROUND(((C75*E75+C76*E76+C77*E77+C78*E78+C79*E79+C80*E80+C81*E81)/(100)),0)</f>
        <v>572</v>
      </c>
      <c r="C129" s="9" t="s">
        <v>15</v>
      </c>
      <c r="K129" s="78" t="s">
        <v>417</v>
      </c>
      <c r="L129" s="79">
        <v>63</v>
      </c>
      <c r="M129" s="79">
        <v>32</v>
      </c>
      <c r="N129" s="80">
        <v>16</v>
      </c>
      <c r="O129" s="79">
        <v>25500</v>
      </c>
      <c r="P129" s="79">
        <v>66000</v>
      </c>
      <c r="Q129" s="79"/>
      <c r="R129" s="79">
        <v>176</v>
      </c>
      <c r="S129" s="78" t="s">
        <v>43</v>
      </c>
      <c r="T129" s="78" t="s">
        <v>554</v>
      </c>
      <c r="U129" s="9" t="s">
        <v>564</v>
      </c>
      <c r="V129" s="85">
        <v>0.05</v>
      </c>
      <c r="W129" s="86">
        <v>3000</v>
      </c>
      <c r="X129" s="85">
        <v>0.16</v>
      </c>
      <c r="Y129" s="85">
        <v>0.43</v>
      </c>
      <c r="Z129" s="86">
        <v>6000</v>
      </c>
      <c r="AA129" s="85">
        <v>0.48</v>
      </c>
      <c r="AB129" s="38">
        <v>2.7</v>
      </c>
      <c r="AC129" s="85">
        <v>0.55000000000000004</v>
      </c>
      <c r="AD129" s="87">
        <v>8</v>
      </c>
      <c r="AE129" s="88">
        <v>21.5</v>
      </c>
      <c r="AF129" s="78" t="s">
        <v>555</v>
      </c>
    </row>
    <row r="130" spans="1:39" s="10" customFormat="1" ht="19.95" customHeight="1" x14ac:dyDescent="0.3">
      <c r="A130" s="20"/>
      <c r="B130" s="27"/>
      <c r="C130" s="27"/>
      <c r="F130" s="9"/>
      <c r="G130" s="9"/>
      <c r="K130" s="78" t="s">
        <v>418</v>
      </c>
      <c r="L130" s="79">
        <v>63</v>
      </c>
      <c r="M130" s="79">
        <v>40</v>
      </c>
      <c r="N130" s="80">
        <v>16</v>
      </c>
      <c r="O130" s="79">
        <v>35300</v>
      </c>
      <c r="P130" s="79">
        <v>96600</v>
      </c>
      <c r="Q130" s="79"/>
      <c r="R130" s="79">
        <v>169</v>
      </c>
      <c r="S130" s="78" t="s">
        <v>43</v>
      </c>
      <c r="T130" s="78" t="s">
        <v>556</v>
      </c>
      <c r="U130" s="9" t="s">
        <v>564</v>
      </c>
      <c r="V130" s="85">
        <v>0.1</v>
      </c>
      <c r="W130" s="86">
        <v>3000</v>
      </c>
      <c r="X130" s="85">
        <v>0.3</v>
      </c>
      <c r="Y130" s="85">
        <v>0.85</v>
      </c>
      <c r="Z130" s="86">
        <v>6000</v>
      </c>
      <c r="AA130" s="85">
        <v>0.96</v>
      </c>
      <c r="AB130" s="38">
        <v>2.7</v>
      </c>
      <c r="AC130" s="85">
        <v>0.67</v>
      </c>
      <c r="AD130" s="87">
        <v>8</v>
      </c>
      <c r="AE130" s="88">
        <v>21.5</v>
      </c>
      <c r="AF130" s="78" t="s">
        <v>555</v>
      </c>
      <c r="AI130" s="9"/>
      <c r="AJ130" s="9"/>
      <c r="AK130" s="9"/>
      <c r="AL130" s="9"/>
      <c r="AM130" s="9"/>
    </row>
    <row r="131" spans="1:39" s="10" customFormat="1" ht="19.95" customHeight="1" x14ac:dyDescent="0.3">
      <c r="F131" s="91"/>
      <c r="G131" s="9"/>
      <c r="K131" s="78" t="s">
        <v>419</v>
      </c>
      <c r="L131" s="79">
        <v>80</v>
      </c>
      <c r="M131" s="79">
        <v>50</v>
      </c>
      <c r="N131" s="80">
        <v>19</v>
      </c>
      <c r="O131" s="79">
        <v>66600</v>
      </c>
      <c r="P131" s="79">
        <v>204000</v>
      </c>
      <c r="Q131" s="79"/>
      <c r="R131" s="79">
        <v>255</v>
      </c>
      <c r="S131" s="78" t="s">
        <v>43</v>
      </c>
      <c r="T131" s="78" t="s">
        <v>557</v>
      </c>
      <c r="U131" s="9" t="s">
        <v>565</v>
      </c>
      <c r="V131" s="85">
        <v>0.2</v>
      </c>
      <c r="W131" s="86">
        <v>3000</v>
      </c>
      <c r="X131" s="85">
        <v>0.64</v>
      </c>
      <c r="Y131" s="85">
        <v>1.7</v>
      </c>
      <c r="Z131" s="86">
        <v>6000</v>
      </c>
      <c r="AA131" s="85">
        <v>1.92</v>
      </c>
      <c r="AB131" s="38">
        <v>5.2</v>
      </c>
      <c r="AC131" s="85">
        <v>1.23</v>
      </c>
      <c r="AD131" s="87">
        <v>14</v>
      </c>
      <c r="AE131" s="88">
        <v>25</v>
      </c>
      <c r="AF131" s="78" t="s">
        <v>555</v>
      </c>
      <c r="AG131" s="9"/>
      <c r="AH131" s="9"/>
      <c r="AI131" s="9"/>
      <c r="AJ131" s="9"/>
      <c r="AK131" s="9"/>
      <c r="AL131" s="9"/>
      <c r="AM131" s="9"/>
    </row>
    <row r="132" spans="1:39" s="10" customFormat="1" ht="19.95" customHeight="1" x14ac:dyDescent="0.3">
      <c r="B132" s="9"/>
      <c r="C132" s="9"/>
      <c r="D132" s="9"/>
      <c r="E132" s="9"/>
      <c r="F132" s="9"/>
      <c r="G132" s="9"/>
      <c r="H132" s="9"/>
      <c r="I132" s="9"/>
      <c r="J132" s="9"/>
      <c r="K132" s="78" t="s">
        <v>420</v>
      </c>
      <c r="L132" s="79">
        <v>100</v>
      </c>
      <c r="M132" s="79">
        <v>60</v>
      </c>
      <c r="N132" s="80">
        <v>19</v>
      </c>
      <c r="O132" s="79">
        <v>73400</v>
      </c>
      <c r="P132" s="79">
        <v>251500</v>
      </c>
      <c r="Q132" s="79"/>
      <c r="R132" s="79">
        <v>295</v>
      </c>
      <c r="S132" s="78" t="s">
        <v>43</v>
      </c>
      <c r="T132" s="78" t="s">
        <v>558</v>
      </c>
      <c r="U132" s="9" t="s">
        <v>566</v>
      </c>
      <c r="V132" s="85">
        <v>0.4</v>
      </c>
      <c r="W132" s="86">
        <v>3000</v>
      </c>
      <c r="X132" s="85">
        <v>1.27</v>
      </c>
      <c r="Y132" s="85">
        <v>2.8</v>
      </c>
      <c r="Z132" s="86">
        <v>6000</v>
      </c>
      <c r="AA132" s="85">
        <v>3.81</v>
      </c>
      <c r="AB132" s="38">
        <v>9</v>
      </c>
      <c r="AC132" s="85">
        <v>1.59</v>
      </c>
      <c r="AD132" s="87">
        <v>14</v>
      </c>
      <c r="AE132" s="88">
        <v>25</v>
      </c>
      <c r="AF132" s="78" t="s">
        <v>555</v>
      </c>
      <c r="AG132" s="9"/>
      <c r="AH132" s="9"/>
      <c r="AI132" s="9"/>
      <c r="AJ132" s="9"/>
      <c r="AK132" s="9"/>
      <c r="AL132" s="9"/>
      <c r="AM132" s="9"/>
    </row>
    <row r="133" spans="1:39" s="10" customFormat="1" ht="19.95" customHeight="1" x14ac:dyDescent="0.3">
      <c r="A133" s="13" t="s">
        <v>50</v>
      </c>
      <c r="B133" s="91">
        <f>+D133/$D$55</f>
        <v>709.88786952089697</v>
      </c>
      <c r="C133" s="9" t="s">
        <v>40</v>
      </c>
      <c r="D133" s="91">
        <f>+ROUND(((ABS(D75)^3*C75*F75+ABS(D76)^3*C76*F76+ABS(D77)^3*C77*F77+ABS(D78)^3*C78*F78+ABS(D79)^3*C79*F79+ABS(D80)^3*C80*F80+ABS(D81)^3*C81*F81)/(C75*F75+C76*F76+C77*F77+C78*F78+C79*F79+C80*F80+C81*F81))^(1/3),0)</f>
        <v>6964</v>
      </c>
      <c r="E133" s="9" t="s">
        <v>0</v>
      </c>
      <c r="F133" s="9"/>
      <c r="G133" s="9"/>
      <c r="H133" s="9"/>
      <c r="I133" s="9"/>
      <c r="J133" s="9"/>
      <c r="K133" s="78" t="s">
        <v>421</v>
      </c>
      <c r="L133" s="79">
        <v>40</v>
      </c>
      <c r="M133" s="79">
        <v>10</v>
      </c>
      <c r="N133" s="80">
        <v>7.9379999999999997</v>
      </c>
      <c r="O133" s="79">
        <v>15000</v>
      </c>
      <c r="P133" s="79">
        <v>41800</v>
      </c>
      <c r="Q133" s="79"/>
      <c r="R133" s="79">
        <v>124</v>
      </c>
      <c r="S133" s="78" t="s">
        <v>43</v>
      </c>
      <c r="T133" s="78" t="s">
        <v>559</v>
      </c>
      <c r="U133" s="9" t="s">
        <v>567</v>
      </c>
      <c r="V133" s="85">
        <v>0.75</v>
      </c>
      <c r="W133" s="86">
        <v>3000</v>
      </c>
      <c r="X133" s="85">
        <v>2.4</v>
      </c>
      <c r="Y133" s="85">
        <v>5.8</v>
      </c>
      <c r="Z133" s="86">
        <v>6000</v>
      </c>
      <c r="AA133" s="85">
        <v>7.2</v>
      </c>
      <c r="AB133" s="38">
        <v>18.5</v>
      </c>
      <c r="AC133" s="85">
        <v>2.87</v>
      </c>
      <c r="AD133" s="87">
        <v>19</v>
      </c>
      <c r="AE133" s="88">
        <v>35.5</v>
      </c>
      <c r="AF133" s="78" t="s">
        <v>555</v>
      </c>
      <c r="AG133" s="9"/>
      <c r="AH133" s="9"/>
      <c r="AI133" s="9"/>
      <c r="AJ133" s="9"/>
      <c r="AK133" s="9"/>
      <c r="AL133" s="9"/>
      <c r="AM133" s="9"/>
    </row>
    <row r="134" spans="1:39" ht="19.95" customHeight="1" x14ac:dyDescent="0.3">
      <c r="F134" s="11"/>
      <c r="K134" s="78" t="s">
        <v>422</v>
      </c>
      <c r="L134" s="79">
        <v>40</v>
      </c>
      <c r="M134" s="79">
        <v>12</v>
      </c>
      <c r="N134" s="80">
        <v>10</v>
      </c>
      <c r="O134" s="79">
        <v>18600</v>
      </c>
      <c r="P134" s="79">
        <v>48200</v>
      </c>
      <c r="Q134" s="79"/>
      <c r="R134" s="79">
        <v>156</v>
      </c>
      <c r="S134" s="78" t="s">
        <v>43</v>
      </c>
      <c r="T134" s="78" t="s">
        <v>560</v>
      </c>
      <c r="U134" s="9" t="s">
        <v>568</v>
      </c>
      <c r="V134" s="85">
        <v>1</v>
      </c>
      <c r="W134" s="86">
        <v>2000</v>
      </c>
      <c r="X134" s="85">
        <v>4.78</v>
      </c>
      <c r="Y134" s="85">
        <v>5.8</v>
      </c>
      <c r="Z134" s="86">
        <v>3500</v>
      </c>
      <c r="AA134" s="85">
        <v>14.4</v>
      </c>
      <c r="AB134" s="38">
        <v>17.399999999999999</v>
      </c>
      <c r="AC134" s="85">
        <v>7.4</v>
      </c>
      <c r="AD134" s="87">
        <v>24</v>
      </c>
      <c r="AE134" s="88">
        <v>50</v>
      </c>
      <c r="AF134" s="78" t="s">
        <v>555</v>
      </c>
    </row>
    <row r="135" spans="1:39" ht="19.95" customHeight="1" x14ac:dyDescent="0.3">
      <c r="E135" s="11"/>
      <c r="K135" s="78" t="s">
        <v>423</v>
      </c>
      <c r="L135" s="79">
        <v>50</v>
      </c>
      <c r="M135" s="79">
        <v>10</v>
      </c>
      <c r="N135" s="80">
        <v>7.9379999999999997</v>
      </c>
      <c r="O135" s="79">
        <v>16700</v>
      </c>
      <c r="P135" s="79">
        <v>63700</v>
      </c>
      <c r="Q135" s="79"/>
      <c r="R135" s="79">
        <v>133</v>
      </c>
      <c r="S135" s="78" t="s">
        <v>43</v>
      </c>
      <c r="T135" s="78" t="s">
        <v>561</v>
      </c>
      <c r="U135" s="9" t="s">
        <v>569</v>
      </c>
      <c r="V135" s="85">
        <v>1.5</v>
      </c>
      <c r="W135" s="86">
        <v>2000</v>
      </c>
      <c r="X135" s="85">
        <v>7.16</v>
      </c>
      <c r="Y135" s="85">
        <v>8.5</v>
      </c>
      <c r="Z135" s="86">
        <v>3500</v>
      </c>
      <c r="AA135" s="85">
        <v>21.6</v>
      </c>
      <c r="AB135" s="38">
        <v>25.2</v>
      </c>
      <c r="AC135" s="85">
        <v>8.6999999999999993</v>
      </c>
      <c r="AD135" s="87">
        <v>24</v>
      </c>
      <c r="AE135" s="88">
        <v>50</v>
      </c>
      <c r="AF135" s="78" t="s">
        <v>555</v>
      </c>
    </row>
    <row r="136" spans="1:39" ht="19.95" customHeight="1" x14ac:dyDescent="0.3">
      <c r="A136" s="10"/>
      <c r="K136" s="78" t="s">
        <v>424</v>
      </c>
      <c r="L136" s="79">
        <v>50</v>
      </c>
      <c r="M136" s="79">
        <v>16</v>
      </c>
      <c r="N136" s="80">
        <v>12.7</v>
      </c>
      <c r="O136" s="79">
        <v>31200</v>
      </c>
      <c r="P136" s="79">
        <v>83500</v>
      </c>
      <c r="Q136" s="79"/>
      <c r="R136" s="79">
        <v>200</v>
      </c>
      <c r="S136" s="78" t="s">
        <v>43</v>
      </c>
      <c r="T136" s="78" t="s">
        <v>562</v>
      </c>
      <c r="U136" s="9" t="s">
        <v>570</v>
      </c>
      <c r="V136" s="85">
        <v>2</v>
      </c>
      <c r="W136" s="86">
        <v>2000</v>
      </c>
      <c r="X136" s="85">
        <v>9.5500000000000007</v>
      </c>
      <c r="Y136" s="85">
        <v>11</v>
      </c>
      <c r="Z136" s="86">
        <v>3500</v>
      </c>
      <c r="AA136" s="85">
        <v>28.5</v>
      </c>
      <c r="AB136" s="38">
        <v>33</v>
      </c>
      <c r="AC136" s="85">
        <v>9.9</v>
      </c>
      <c r="AD136" s="87">
        <v>24</v>
      </c>
      <c r="AE136" s="88">
        <v>50</v>
      </c>
      <c r="AF136" s="78" t="s">
        <v>555</v>
      </c>
    </row>
    <row r="137" spans="1:39" ht="19.95" customHeight="1" x14ac:dyDescent="0.3">
      <c r="K137" s="78" t="s">
        <v>425</v>
      </c>
      <c r="L137" s="79">
        <v>50</v>
      </c>
      <c r="M137" s="79">
        <v>16</v>
      </c>
      <c r="N137" s="80">
        <v>12.7</v>
      </c>
      <c r="O137" s="79">
        <v>24800</v>
      </c>
      <c r="P137" s="79">
        <v>63700</v>
      </c>
      <c r="Q137" s="79"/>
      <c r="R137" s="79">
        <v>168</v>
      </c>
      <c r="S137" s="78" t="s">
        <v>43</v>
      </c>
      <c r="T137" s="78" t="s">
        <v>563</v>
      </c>
      <c r="U137" s="9" t="s">
        <v>571</v>
      </c>
      <c r="V137" s="85">
        <v>3</v>
      </c>
      <c r="W137" s="86">
        <v>2000</v>
      </c>
      <c r="X137" s="85">
        <v>14.3</v>
      </c>
      <c r="Y137" s="85">
        <v>16</v>
      </c>
      <c r="Z137" s="86">
        <v>3500</v>
      </c>
      <c r="AA137" s="85">
        <v>43</v>
      </c>
      <c r="AB137" s="38">
        <v>48</v>
      </c>
      <c r="AC137" s="85">
        <v>12.4</v>
      </c>
      <c r="AD137" s="87">
        <v>24</v>
      </c>
      <c r="AE137" s="88">
        <v>50</v>
      </c>
      <c r="AF137" s="78" t="s">
        <v>555</v>
      </c>
    </row>
    <row r="138" spans="1:39" ht="19.95" customHeight="1" x14ac:dyDescent="0.3">
      <c r="A138" s="4" t="s">
        <v>49</v>
      </c>
      <c r="K138" s="78" t="s">
        <v>426</v>
      </c>
      <c r="L138" s="79">
        <v>50</v>
      </c>
      <c r="M138" s="79">
        <v>20</v>
      </c>
      <c r="N138" s="80">
        <v>13</v>
      </c>
      <c r="O138" s="79">
        <v>31200</v>
      </c>
      <c r="P138" s="79">
        <v>84800</v>
      </c>
      <c r="Q138" s="79"/>
      <c r="R138" s="79">
        <v>235</v>
      </c>
      <c r="S138" s="78" t="s">
        <v>43</v>
      </c>
    </row>
    <row r="139" spans="1:39" ht="19.95" customHeight="1" x14ac:dyDescent="0.3">
      <c r="A139" s="30" t="s">
        <v>48</v>
      </c>
      <c r="B139" s="76" t="s">
        <v>47</v>
      </c>
      <c r="C139" s="76" t="s">
        <v>46</v>
      </c>
      <c r="K139" s="78" t="s">
        <v>427</v>
      </c>
      <c r="L139" s="79">
        <v>55</v>
      </c>
      <c r="M139" s="79">
        <v>10</v>
      </c>
      <c r="N139" s="80">
        <v>7.9379999999999997</v>
      </c>
      <c r="O139" s="79">
        <v>17500</v>
      </c>
      <c r="P139" s="79">
        <v>58500</v>
      </c>
      <c r="Q139" s="79"/>
      <c r="R139" s="79">
        <v>153</v>
      </c>
      <c r="S139" s="78" t="s">
        <v>43</v>
      </c>
    </row>
    <row r="140" spans="1:39" ht="19.95" customHeight="1" x14ac:dyDescent="0.3">
      <c r="A140" s="23" t="s">
        <v>45</v>
      </c>
      <c r="B140" s="28">
        <v>1.3</v>
      </c>
      <c r="C140" s="28">
        <v>1.8</v>
      </c>
      <c r="K140" s="78" t="s">
        <v>428</v>
      </c>
      <c r="L140" s="79">
        <v>55</v>
      </c>
      <c r="M140" s="79">
        <v>16</v>
      </c>
      <c r="N140" s="80">
        <v>12.7</v>
      </c>
      <c r="O140" s="79">
        <v>32600</v>
      </c>
      <c r="P140" s="79">
        <v>94000</v>
      </c>
      <c r="Q140" s="79"/>
      <c r="R140" s="79">
        <v>200</v>
      </c>
      <c r="S140" s="78" t="s">
        <v>43</v>
      </c>
    </row>
    <row r="141" spans="1:39" ht="19.95" customHeight="1" x14ac:dyDescent="0.3">
      <c r="A141" s="23" t="s">
        <v>44</v>
      </c>
      <c r="B141" s="28">
        <v>1.1000000000000001</v>
      </c>
      <c r="C141" s="28">
        <v>1.2</v>
      </c>
      <c r="K141" s="78" t="s">
        <v>429</v>
      </c>
      <c r="L141" s="79">
        <v>55</v>
      </c>
      <c r="M141" s="79">
        <v>16</v>
      </c>
      <c r="N141" s="80">
        <v>12.7</v>
      </c>
      <c r="O141" s="79">
        <v>25800</v>
      </c>
      <c r="P141" s="79">
        <v>71800</v>
      </c>
      <c r="Q141" s="79"/>
      <c r="R141" s="79">
        <v>168</v>
      </c>
      <c r="S141" s="78" t="s">
        <v>43</v>
      </c>
    </row>
    <row r="142" spans="1:39" ht="19.95" customHeight="1" x14ac:dyDescent="0.3">
      <c r="A142" s="23" t="s">
        <v>42</v>
      </c>
      <c r="B142" s="28">
        <v>2</v>
      </c>
      <c r="C142" s="28">
        <v>3</v>
      </c>
      <c r="K142" s="78" t="s">
        <v>430</v>
      </c>
      <c r="L142" s="79">
        <v>63</v>
      </c>
      <c r="M142" s="79">
        <v>20</v>
      </c>
      <c r="N142" s="80">
        <v>15.875</v>
      </c>
      <c r="O142" s="79">
        <v>35900</v>
      </c>
      <c r="P142" s="79">
        <v>99300</v>
      </c>
      <c r="Q142" s="79"/>
      <c r="R142" s="79">
        <v>210</v>
      </c>
      <c r="S142" s="78" t="s">
        <v>43</v>
      </c>
    </row>
    <row r="143" spans="1:39" ht="19.95" customHeight="1" thickBot="1" x14ac:dyDescent="0.35">
      <c r="K143" s="78" t="s">
        <v>431</v>
      </c>
      <c r="L143" s="79">
        <v>63</v>
      </c>
      <c r="M143" s="79">
        <v>20</v>
      </c>
      <c r="N143" s="80">
        <v>15.875</v>
      </c>
      <c r="O143" s="79">
        <v>46600</v>
      </c>
      <c r="P143" s="79">
        <v>134700</v>
      </c>
      <c r="Q143" s="79"/>
      <c r="R143" s="79">
        <v>246</v>
      </c>
      <c r="S143" s="78" t="s">
        <v>43</v>
      </c>
    </row>
    <row r="144" spans="1:39" ht="19.95" customHeight="1" thickBot="1" x14ac:dyDescent="0.35">
      <c r="A144" s="4" t="s">
        <v>575</v>
      </c>
      <c r="B144" s="25">
        <f>+(B71*60*B129)^0.333333333333333*B133*B153*10^-2</f>
        <v>3852.898321419169</v>
      </c>
      <c r="C144" s="9" t="s">
        <v>40</v>
      </c>
      <c r="D144" s="14">
        <f>+B10</f>
        <v>5050</v>
      </c>
      <c r="F144" s="91">
        <f>+B144*D55</f>
        <v>37796.932533122046</v>
      </c>
      <c r="G144" s="91">
        <f>+D144*D55</f>
        <v>49540.5</v>
      </c>
      <c r="K144" s="78" t="s">
        <v>432</v>
      </c>
      <c r="L144" s="79">
        <v>63</v>
      </c>
      <c r="M144" s="79">
        <v>25</v>
      </c>
      <c r="N144" s="80">
        <v>15.875</v>
      </c>
      <c r="O144" s="79">
        <v>35900</v>
      </c>
      <c r="P144" s="79">
        <v>99300</v>
      </c>
      <c r="Q144" s="79"/>
      <c r="R144" s="79">
        <v>235</v>
      </c>
      <c r="S144" s="78" t="s">
        <v>43</v>
      </c>
    </row>
    <row r="145" spans="1:19" ht="19.95" customHeight="1" x14ac:dyDescent="0.3">
      <c r="K145" s="78" t="s">
        <v>433</v>
      </c>
      <c r="L145" s="81">
        <v>80</v>
      </c>
      <c r="M145" s="81">
        <v>16</v>
      </c>
      <c r="N145" s="82">
        <v>12.7</v>
      </c>
      <c r="O145" s="81">
        <v>39000</v>
      </c>
      <c r="P145" s="81">
        <v>136700</v>
      </c>
      <c r="Q145" s="81"/>
      <c r="R145" s="81">
        <v>205</v>
      </c>
      <c r="S145" s="78" t="s">
        <v>43</v>
      </c>
    </row>
    <row r="146" spans="1:19" ht="19.95" customHeight="1" x14ac:dyDescent="0.3">
      <c r="K146" s="78" t="s">
        <v>434</v>
      </c>
      <c r="L146" s="81">
        <v>80</v>
      </c>
      <c r="M146" s="81">
        <v>16</v>
      </c>
      <c r="N146" s="82">
        <v>12.7</v>
      </c>
      <c r="O146" s="81">
        <v>56000</v>
      </c>
      <c r="P146" s="81">
        <v>208700</v>
      </c>
      <c r="Q146" s="81"/>
      <c r="R146" s="81">
        <v>275</v>
      </c>
      <c r="S146" s="78" t="s">
        <v>43</v>
      </c>
    </row>
    <row r="147" spans="1:19" ht="19.95" customHeight="1" thickBot="1" x14ac:dyDescent="0.35">
      <c r="K147" s="78" t="s">
        <v>435</v>
      </c>
      <c r="L147" s="79">
        <v>80</v>
      </c>
      <c r="M147" s="79">
        <v>20</v>
      </c>
      <c r="N147" s="80">
        <v>15.875</v>
      </c>
      <c r="O147" s="79">
        <v>52100</v>
      </c>
      <c r="P147" s="79">
        <v>172400</v>
      </c>
      <c r="Q147" s="79"/>
      <c r="R147" s="79">
        <v>250</v>
      </c>
      <c r="S147" s="78" t="s">
        <v>43</v>
      </c>
    </row>
    <row r="148" spans="1:19" ht="19.95" customHeight="1" thickBot="1" x14ac:dyDescent="0.35">
      <c r="A148" s="4" t="s">
        <v>39</v>
      </c>
      <c r="B148" s="25">
        <f>+(B10/(B133*B153))^3*(1/(60*B129))*10^6</f>
        <v>7880.9674631344051</v>
      </c>
      <c r="C148" s="9" t="s">
        <v>38</v>
      </c>
      <c r="D148" s="14">
        <f>+B71</f>
        <v>3500</v>
      </c>
      <c r="K148" s="78" t="s">
        <v>436</v>
      </c>
      <c r="L148" s="79">
        <v>80</v>
      </c>
      <c r="M148" s="79">
        <v>20</v>
      </c>
      <c r="N148" s="80">
        <v>15.875</v>
      </c>
      <c r="O148" s="79">
        <v>75000</v>
      </c>
      <c r="P148" s="79">
        <v>263200</v>
      </c>
      <c r="Q148" s="79"/>
      <c r="R148" s="79">
        <v>330</v>
      </c>
      <c r="S148" s="78" t="s">
        <v>43</v>
      </c>
    </row>
    <row r="149" spans="1:19" ht="19.95" customHeight="1" x14ac:dyDescent="0.3">
      <c r="K149" s="78" t="s">
        <v>437</v>
      </c>
      <c r="L149" s="79">
        <v>80</v>
      </c>
      <c r="M149" s="79">
        <v>25</v>
      </c>
      <c r="N149" s="80">
        <v>19.05</v>
      </c>
      <c r="O149" s="79">
        <v>67700</v>
      </c>
      <c r="P149" s="79">
        <v>206100</v>
      </c>
      <c r="Q149" s="79"/>
      <c r="R149" s="79">
        <v>305</v>
      </c>
      <c r="S149" s="78" t="s">
        <v>43</v>
      </c>
    </row>
    <row r="150" spans="1:19" ht="19.95" customHeight="1" x14ac:dyDescent="0.3">
      <c r="A150" s="10"/>
      <c r="B150" s="10"/>
      <c r="K150" s="78" t="s">
        <v>438</v>
      </c>
      <c r="L150" s="79">
        <v>80</v>
      </c>
      <c r="M150" s="79">
        <v>25</v>
      </c>
      <c r="N150" s="80">
        <v>19.05</v>
      </c>
      <c r="O150" s="79">
        <v>97200</v>
      </c>
      <c r="P150" s="79">
        <v>314600</v>
      </c>
      <c r="Q150" s="79"/>
      <c r="R150" s="79">
        <v>402</v>
      </c>
      <c r="S150" s="78" t="s">
        <v>43</v>
      </c>
    </row>
    <row r="151" spans="1:19" ht="19.95" customHeight="1" x14ac:dyDescent="0.3">
      <c r="A151" s="10"/>
      <c r="K151" s="78" t="s">
        <v>439</v>
      </c>
      <c r="L151" s="79">
        <v>45</v>
      </c>
      <c r="M151" s="79">
        <v>10</v>
      </c>
      <c r="N151" s="80">
        <v>6</v>
      </c>
      <c r="O151" s="79">
        <v>7760</v>
      </c>
      <c r="P151" s="79">
        <v>23550</v>
      </c>
      <c r="Q151" s="79">
        <v>119</v>
      </c>
      <c r="R151" s="79">
        <v>131</v>
      </c>
      <c r="S151" s="78" t="s">
        <v>43</v>
      </c>
    </row>
    <row r="152" spans="1:19" ht="19.95" customHeight="1" x14ac:dyDescent="0.3">
      <c r="K152" s="78" t="s">
        <v>440</v>
      </c>
      <c r="L152" s="79">
        <v>45</v>
      </c>
      <c r="M152" s="79">
        <v>12</v>
      </c>
      <c r="N152" s="80">
        <v>7</v>
      </c>
      <c r="O152" s="79">
        <v>9120</v>
      </c>
      <c r="P152" s="79">
        <v>26850</v>
      </c>
      <c r="Q152" s="79">
        <v>121</v>
      </c>
      <c r="R152" s="79">
        <v>148</v>
      </c>
      <c r="S152" s="78" t="s">
        <v>43</v>
      </c>
    </row>
    <row r="153" spans="1:19" ht="19.95" customHeight="1" x14ac:dyDescent="0.3">
      <c r="A153" s="4" t="s">
        <v>37</v>
      </c>
      <c r="B153" s="24">
        <v>1.1000000000000001</v>
      </c>
      <c r="D153" s="9">
        <v>1.1000000000000001</v>
      </c>
      <c r="K153" s="78" t="s">
        <v>441</v>
      </c>
      <c r="L153" s="79">
        <v>50</v>
      </c>
      <c r="M153" s="79">
        <v>10</v>
      </c>
      <c r="N153" s="80">
        <v>6</v>
      </c>
      <c r="O153" s="79">
        <v>8200</v>
      </c>
      <c r="P153" s="79">
        <v>26130</v>
      </c>
      <c r="Q153" s="79">
        <v>130</v>
      </c>
      <c r="R153" s="79">
        <v>131</v>
      </c>
      <c r="S153" s="78" t="s">
        <v>43</v>
      </c>
    </row>
    <row r="154" spans="1:19" ht="19.95" customHeight="1" x14ac:dyDescent="0.3">
      <c r="A154" s="23" t="s">
        <v>36</v>
      </c>
      <c r="B154" s="97" t="s">
        <v>35</v>
      </c>
      <c r="C154" s="97"/>
      <c r="K154" s="78" t="s">
        <v>442</v>
      </c>
      <c r="L154" s="79">
        <v>20</v>
      </c>
      <c r="M154" s="79">
        <v>10</v>
      </c>
      <c r="N154" s="80">
        <v>4.7619999999999996</v>
      </c>
      <c r="O154" s="79">
        <v>1100</v>
      </c>
      <c r="P154" s="79">
        <v>2200</v>
      </c>
      <c r="Q154" s="79">
        <v>16</v>
      </c>
      <c r="R154" s="79">
        <v>61</v>
      </c>
      <c r="S154" s="78" t="s">
        <v>43</v>
      </c>
    </row>
    <row r="155" spans="1:19" ht="19.95" customHeight="1" x14ac:dyDescent="0.3">
      <c r="A155" s="23" t="s">
        <v>34</v>
      </c>
      <c r="B155" s="22">
        <v>1</v>
      </c>
      <c r="C155" s="21">
        <v>1.2</v>
      </c>
      <c r="K155" s="78" t="s">
        <v>443</v>
      </c>
      <c r="L155" s="79">
        <v>25</v>
      </c>
      <c r="M155" s="79">
        <v>10</v>
      </c>
      <c r="N155" s="80">
        <v>4.7619999999999996</v>
      </c>
      <c r="O155" s="79">
        <v>1270</v>
      </c>
      <c r="P155" s="79">
        <v>2780</v>
      </c>
      <c r="Q155" s="79">
        <v>20</v>
      </c>
      <c r="R155" s="79">
        <v>65</v>
      </c>
      <c r="S155" s="78" t="s">
        <v>43</v>
      </c>
    </row>
    <row r="156" spans="1:19" ht="19.95" customHeight="1" x14ac:dyDescent="0.3">
      <c r="A156" s="23" t="s">
        <v>33</v>
      </c>
      <c r="B156" s="22">
        <v>1.2</v>
      </c>
      <c r="C156" s="21">
        <v>1.5</v>
      </c>
      <c r="K156" s="78" t="s">
        <v>444</v>
      </c>
      <c r="L156" s="79">
        <v>25</v>
      </c>
      <c r="M156" s="79">
        <v>10</v>
      </c>
      <c r="N156" s="80">
        <v>6.35</v>
      </c>
      <c r="O156" s="79">
        <v>3200</v>
      </c>
      <c r="P156" s="79">
        <v>7170</v>
      </c>
      <c r="Q156" s="79">
        <v>40</v>
      </c>
      <c r="R156" s="79">
        <v>97</v>
      </c>
      <c r="S156" s="78" t="s">
        <v>43</v>
      </c>
    </row>
    <row r="157" spans="1:19" ht="19.95" customHeight="1" x14ac:dyDescent="0.3">
      <c r="A157" s="23" t="s">
        <v>32</v>
      </c>
      <c r="B157" s="22">
        <v>1.5</v>
      </c>
      <c r="C157" s="21">
        <v>3</v>
      </c>
      <c r="K157" s="78" t="s">
        <v>445</v>
      </c>
      <c r="L157" s="79">
        <v>40</v>
      </c>
      <c r="M157" s="79">
        <v>10</v>
      </c>
      <c r="N157" s="80">
        <v>6.35</v>
      </c>
      <c r="O157" s="79">
        <v>3520</v>
      </c>
      <c r="P157" s="79">
        <v>12000</v>
      </c>
      <c r="Q157" s="79">
        <v>59</v>
      </c>
      <c r="R157" s="79">
        <v>100</v>
      </c>
      <c r="S157" s="78" t="s">
        <v>43</v>
      </c>
    </row>
    <row r="158" spans="1:19" ht="19.95" customHeight="1" x14ac:dyDescent="0.3">
      <c r="K158" s="78" t="s">
        <v>446</v>
      </c>
      <c r="L158" s="79">
        <v>40</v>
      </c>
      <c r="M158" s="79">
        <v>10</v>
      </c>
      <c r="N158" s="80"/>
      <c r="O158" s="79">
        <v>16260</v>
      </c>
      <c r="P158" s="79">
        <v>33600</v>
      </c>
      <c r="Q158" s="79">
        <v>191</v>
      </c>
      <c r="R158" s="79">
        <v>135</v>
      </c>
      <c r="S158" s="78" t="s">
        <v>318</v>
      </c>
    </row>
    <row r="159" spans="1:19" ht="19.95" customHeight="1" x14ac:dyDescent="0.3">
      <c r="A159" s="13"/>
      <c r="K159" s="78" t="s">
        <v>447</v>
      </c>
      <c r="L159" s="79">
        <v>40</v>
      </c>
      <c r="M159" s="79">
        <v>12</v>
      </c>
      <c r="N159" s="80"/>
      <c r="O159" s="79">
        <v>21240</v>
      </c>
      <c r="P159" s="79">
        <v>44160</v>
      </c>
      <c r="Q159" s="79">
        <v>192</v>
      </c>
      <c r="R159" s="79">
        <v>152</v>
      </c>
      <c r="S159" s="78" t="s">
        <v>318</v>
      </c>
    </row>
    <row r="160" spans="1:19" ht="19.95" customHeight="1" x14ac:dyDescent="0.3">
      <c r="A160" s="13"/>
      <c r="B160" s="11"/>
      <c r="K160" s="78" t="s">
        <v>448</v>
      </c>
      <c r="L160" s="79">
        <v>50</v>
      </c>
      <c r="M160" s="79">
        <v>16</v>
      </c>
      <c r="N160" s="80"/>
      <c r="O160" s="79">
        <v>37960</v>
      </c>
      <c r="P160" s="79">
        <v>82090</v>
      </c>
      <c r="Q160" s="79">
        <v>239</v>
      </c>
      <c r="R160" s="79">
        <v>211</v>
      </c>
      <c r="S160" s="78" t="s">
        <v>318</v>
      </c>
    </row>
    <row r="161" spans="1:19" ht="19.95" customHeight="1" x14ac:dyDescent="0.3">
      <c r="A161" s="13"/>
      <c r="B161" s="11"/>
      <c r="K161" s="78" t="s">
        <v>449</v>
      </c>
      <c r="L161" s="79">
        <v>150</v>
      </c>
      <c r="M161" s="79">
        <v>20</v>
      </c>
      <c r="N161" s="80"/>
      <c r="O161" s="79">
        <v>228571</v>
      </c>
      <c r="P161" s="79">
        <v>1067245</v>
      </c>
      <c r="Q161" s="79"/>
      <c r="R161" s="79">
        <v>400</v>
      </c>
      <c r="S161" s="78" t="s">
        <v>286</v>
      </c>
    </row>
    <row r="162" spans="1:19" ht="19.95" customHeight="1" x14ac:dyDescent="0.3">
      <c r="A162" s="10"/>
      <c r="K162" s="78" t="s">
        <v>450</v>
      </c>
      <c r="L162" s="79">
        <v>180</v>
      </c>
      <c r="M162" s="79">
        <v>20</v>
      </c>
      <c r="N162" s="80"/>
      <c r="O162" s="79">
        <v>318673</v>
      </c>
      <c r="P162" s="79">
        <v>1767245</v>
      </c>
      <c r="Q162" s="79"/>
      <c r="R162" s="79">
        <v>400</v>
      </c>
      <c r="S162" s="78" t="s">
        <v>286</v>
      </c>
    </row>
    <row r="163" spans="1:19" ht="19.95" customHeight="1" x14ac:dyDescent="0.3">
      <c r="A163" s="13"/>
      <c r="K163" s="78" t="s">
        <v>451</v>
      </c>
      <c r="L163" s="79">
        <v>180</v>
      </c>
      <c r="M163" s="79">
        <v>30</v>
      </c>
      <c r="N163" s="80"/>
      <c r="O163" s="79">
        <v>307041</v>
      </c>
      <c r="P163" s="79">
        <v>1611224</v>
      </c>
      <c r="Q163" s="79"/>
      <c r="R163" s="79">
        <v>400</v>
      </c>
      <c r="S163" s="78" t="s">
        <v>286</v>
      </c>
    </row>
    <row r="164" spans="1:19" ht="19.95" customHeight="1" x14ac:dyDescent="0.3">
      <c r="K164" s="78" t="s">
        <v>452</v>
      </c>
      <c r="L164" s="79">
        <v>210</v>
      </c>
      <c r="M164" s="79">
        <v>20</v>
      </c>
      <c r="N164" s="80"/>
      <c r="O164" s="79">
        <v>343980</v>
      </c>
      <c r="P164" s="79">
        <v>1955510</v>
      </c>
      <c r="Q164" s="79"/>
      <c r="R164" s="79">
        <v>400</v>
      </c>
      <c r="S164" s="78" t="s">
        <v>286</v>
      </c>
    </row>
    <row r="165" spans="1:19" ht="19.95" customHeight="1" x14ac:dyDescent="0.3">
      <c r="K165" s="78" t="s">
        <v>453</v>
      </c>
      <c r="L165" s="79">
        <v>240</v>
      </c>
      <c r="M165" s="79">
        <v>25</v>
      </c>
      <c r="N165" s="80"/>
      <c r="O165" s="79">
        <v>399898</v>
      </c>
      <c r="P165" s="79">
        <v>2386429</v>
      </c>
      <c r="Q165" s="79"/>
      <c r="R165" s="79">
        <v>400</v>
      </c>
      <c r="S165" s="78" t="s">
        <v>286</v>
      </c>
    </row>
    <row r="166" spans="1:19" ht="19.95" customHeight="1" x14ac:dyDescent="0.3">
      <c r="K166" s="78" t="s">
        <v>454</v>
      </c>
      <c r="L166" s="79">
        <v>50</v>
      </c>
      <c r="M166" s="79">
        <v>14</v>
      </c>
      <c r="N166" s="80"/>
      <c r="O166" s="79">
        <v>21100</v>
      </c>
      <c r="P166" s="79">
        <v>62300</v>
      </c>
      <c r="Q166" s="79"/>
      <c r="R166" s="79">
        <v>202</v>
      </c>
      <c r="S166" s="78" t="s">
        <v>318</v>
      </c>
    </row>
    <row r="167" spans="1:19" ht="19.95" customHeight="1" x14ac:dyDescent="0.3">
      <c r="K167" s="78" t="s">
        <v>455</v>
      </c>
      <c r="L167" s="79">
        <v>50</v>
      </c>
      <c r="M167" s="79">
        <v>16</v>
      </c>
      <c r="N167" s="80"/>
      <c r="O167" s="79">
        <v>30600</v>
      </c>
      <c r="P167" s="79">
        <v>81800</v>
      </c>
      <c r="Q167" s="79"/>
      <c r="R167" s="79">
        <v>228</v>
      </c>
      <c r="S167" s="78" t="s">
        <v>318</v>
      </c>
    </row>
    <row r="168" spans="1:19" ht="19.95" customHeight="1" x14ac:dyDescent="0.3">
      <c r="K168" s="78" t="s">
        <v>456</v>
      </c>
      <c r="L168" s="79">
        <v>50</v>
      </c>
      <c r="M168" s="79">
        <v>40</v>
      </c>
      <c r="N168" s="80"/>
      <c r="O168" s="79">
        <v>19500</v>
      </c>
      <c r="P168" s="79">
        <v>49100</v>
      </c>
      <c r="Q168" s="79"/>
      <c r="R168" s="79">
        <v>159</v>
      </c>
      <c r="S168" s="78" t="s">
        <v>318</v>
      </c>
    </row>
    <row r="169" spans="1:19" ht="19.95" customHeight="1" x14ac:dyDescent="0.3">
      <c r="K169" s="78" t="s">
        <v>457</v>
      </c>
      <c r="L169" s="79">
        <v>63</v>
      </c>
      <c r="M169" s="79">
        <v>32</v>
      </c>
      <c r="N169" s="80"/>
      <c r="O169" s="79">
        <v>23300</v>
      </c>
      <c r="P169" s="79">
        <v>59000</v>
      </c>
      <c r="Q169" s="79"/>
      <c r="R169" s="79">
        <v>176</v>
      </c>
      <c r="S169" s="78" t="s">
        <v>318</v>
      </c>
    </row>
    <row r="170" spans="1:19" ht="19.95" customHeight="1" x14ac:dyDescent="0.3">
      <c r="K170" s="78" t="s">
        <v>458</v>
      </c>
      <c r="L170" s="79">
        <v>30</v>
      </c>
      <c r="M170" s="79">
        <v>10</v>
      </c>
      <c r="N170" s="80"/>
      <c r="O170" s="79">
        <v>10306</v>
      </c>
      <c r="P170" s="79">
        <v>17755</v>
      </c>
      <c r="Q170" s="79"/>
      <c r="R170" s="79">
        <v>127</v>
      </c>
      <c r="S170" s="78" t="s">
        <v>318</v>
      </c>
    </row>
    <row r="171" spans="1:19" ht="19.95" customHeight="1" x14ac:dyDescent="0.3">
      <c r="K171" s="78" t="s">
        <v>459</v>
      </c>
      <c r="L171" s="79">
        <v>39</v>
      </c>
      <c r="M171" s="79">
        <v>10</v>
      </c>
      <c r="N171" s="80"/>
      <c r="O171" s="79">
        <v>9134</v>
      </c>
      <c r="P171" s="79">
        <v>17071</v>
      </c>
      <c r="Q171" s="79"/>
      <c r="R171" s="79">
        <v>152</v>
      </c>
      <c r="S171" s="78" t="s">
        <v>318</v>
      </c>
    </row>
    <row r="172" spans="1:19" ht="19.95" customHeight="1" x14ac:dyDescent="0.3">
      <c r="K172" s="78" t="s">
        <v>460</v>
      </c>
      <c r="L172" s="79">
        <v>48</v>
      </c>
      <c r="M172" s="79">
        <v>10</v>
      </c>
      <c r="N172" s="80"/>
      <c r="O172" s="79">
        <v>22449</v>
      </c>
      <c r="P172" s="79">
        <v>48469</v>
      </c>
      <c r="Q172" s="79"/>
      <c r="R172" s="79">
        <v>127</v>
      </c>
      <c r="S172" s="78" t="s">
        <v>318</v>
      </c>
    </row>
    <row r="173" spans="1:19" ht="19.95" customHeight="1" x14ac:dyDescent="0.3">
      <c r="K173" s="78" t="s">
        <v>460</v>
      </c>
      <c r="L173" s="79">
        <v>48</v>
      </c>
      <c r="M173" s="79">
        <v>10</v>
      </c>
      <c r="N173" s="80"/>
      <c r="O173" s="79">
        <v>13858</v>
      </c>
      <c r="P173" s="79">
        <v>29921</v>
      </c>
      <c r="Q173" s="79"/>
      <c r="R173" s="79">
        <v>127</v>
      </c>
      <c r="S173" s="78" t="s">
        <v>318</v>
      </c>
    </row>
    <row r="174" spans="1:19" ht="19.95" customHeight="1" x14ac:dyDescent="0.3">
      <c r="K174" s="78" t="s">
        <v>461</v>
      </c>
      <c r="L174" s="79">
        <v>60</v>
      </c>
      <c r="M174" s="79">
        <v>10</v>
      </c>
      <c r="N174" s="80"/>
      <c r="O174" s="79">
        <v>32857</v>
      </c>
      <c r="P174" s="79">
        <v>79592</v>
      </c>
      <c r="Q174" s="79"/>
      <c r="R174" s="79">
        <v>152</v>
      </c>
      <c r="S174" s="78" t="s">
        <v>318</v>
      </c>
    </row>
    <row r="175" spans="1:19" ht="19.95" customHeight="1" x14ac:dyDescent="0.3">
      <c r="K175" s="78" t="s">
        <v>462</v>
      </c>
      <c r="L175" s="79">
        <v>60</v>
      </c>
      <c r="M175" s="79">
        <v>20</v>
      </c>
      <c r="N175" s="80"/>
      <c r="O175" s="79">
        <v>38265</v>
      </c>
      <c r="P175" s="79">
        <v>80204</v>
      </c>
      <c r="Q175" s="79"/>
      <c r="R175" s="79">
        <v>152</v>
      </c>
      <c r="S175" s="78" t="s">
        <v>318</v>
      </c>
    </row>
    <row r="176" spans="1:19" ht="19.95" customHeight="1" x14ac:dyDescent="0.3">
      <c r="K176" s="78" t="s">
        <v>463</v>
      </c>
      <c r="L176" s="79">
        <v>75</v>
      </c>
      <c r="M176" s="79">
        <v>10</v>
      </c>
      <c r="N176" s="80"/>
      <c r="O176" s="79">
        <v>30236</v>
      </c>
      <c r="P176" s="79">
        <v>93669</v>
      </c>
      <c r="Q176" s="79"/>
      <c r="R176" s="79">
        <v>191</v>
      </c>
      <c r="S176" s="78" t="s">
        <v>318</v>
      </c>
    </row>
    <row r="177" spans="11:19" ht="19.95" customHeight="1" x14ac:dyDescent="0.3">
      <c r="K177" s="78" t="s">
        <v>464</v>
      </c>
      <c r="L177" s="79">
        <v>75</v>
      </c>
      <c r="M177" s="79">
        <v>20</v>
      </c>
      <c r="N177" s="80"/>
      <c r="O177" s="79">
        <v>55510</v>
      </c>
      <c r="P177" s="79">
        <v>152653</v>
      </c>
      <c r="Q177" s="79"/>
      <c r="R177" s="79">
        <v>191</v>
      </c>
      <c r="S177" s="78" t="s">
        <v>318</v>
      </c>
    </row>
    <row r="178" spans="11:19" ht="19.95" customHeight="1" x14ac:dyDescent="0.3">
      <c r="K178" s="78" t="s">
        <v>464</v>
      </c>
      <c r="L178" s="79">
        <v>75</v>
      </c>
      <c r="M178" s="79">
        <v>20</v>
      </c>
      <c r="N178" s="80"/>
      <c r="O178" s="79">
        <v>34268</v>
      </c>
      <c r="P178" s="79">
        <v>94236</v>
      </c>
      <c r="Q178" s="79"/>
      <c r="R178" s="79">
        <v>191</v>
      </c>
      <c r="S178" s="78" t="s">
        <v>318</v>
      </c>
    </row>
    <row r="179" spans="11:19" ht="19.95" customHeight="1" x14ac:dyDescent="0.3">
      <c r="K179" s="78" t="s">
        <v>465</v>
      </c>
      <c r="L179" s="79">
        <v>32</v>
      </c>
      <c r="M179" s="79">
        <v>10</v>
      </c>
      <c r="N179" s="80">
        <v>6</v>
      </c>
      <c r="O179" s="79">
        <v>3963</v>
      </c>
      <c r="P179" s="79">
        <v>9011</v>
      </c>
      <c r="Q179" s="79">
        <v>53</v>
      </c>
      <c r="R179" s="79">
        <v>96</v>
      </c>
      <c r="S179" s="78" t="s">
        <v>320</v>
      </c>
    </row>
    <row r="180" spans="11:19" ht="19.95" customHeight="1" x14ac:dyDescent="0.3">
      <c r="K180" s="78" t="s">
        <v>466</v>
      </c>
      <c r="L180" s="79">
        <v>32</v>
      </c>
      <c r="M180" s="79">
        <v>20</v>
      </c>
      <c r="N180" s="80">
        <v>6</v>
      </c>
      <c r="O180" s="79">
        <v>2481</v>
      </c>
      <c r="P180" s="79">
        <v>5385</v>
      </c>
      <c r="Q180" s="79">
        <v>29</v>
      </c>
      <c r="R180" s="79">
        <v>100</v>
      </c>
      <c r="S180" s="78" t="s">
        <v>320</v>
      </c>
    </row>
    <row r="181" spans="11:19" ht="19.95" customHeight="1" x14ac:dyDescent="0.3">
      <c r="K181" s="78" t="s">
        <v>467</v>
      </c>
      <c r="L181" s="79">
        <v>40</v>
      </c>
      <c r="M181" s="79">
        <v>10</v>
      </c>
      <c r="N181" s="80">
        <v>6</v>
      </c>
      <c r="O181" s="79">
        <v>4372</v>
      </c>
      <c r="P181" s="79">
        <v>11264</v>
      </c>
      <c r="Q181" s="79">
        <v>65</v>
      </c>
      <c r="R181" s="79">
        <v>100</v>
      </c>
      <c r="S181" s="78" t="s">
        <v>320</v>
      </c>
    </row>
    <row r="182" spans="11:19" ht="19.95" customHeight="1" x14ac:dyDescent="0.3">
      <c r="K182" s="78" t="s">
        <v>468</v>
      </c>
      <c r="L182" s="79">
        <v>40</v>
      </c>
      <c r="M182" s="79">
        <v>20</v>
      </c>
      <c r="N182" s="80">
        <v>6</v>
      </c>
      <c r="O182" s="79">
        <v>2723</v>
      </c>
      <c r="P182" s="79">
        <v>6653</v>
      </c>
      <c r="Q182" s="79">
        <v>36</v>
      </c>
      <c r="R182" s="79">
        <v>100</v>
      </c>
      <c r="S182" s="78" t="s">
        <v>320</v>
      </c>
    </row>
    <row r="183" spans="11:19" ht="19.95" customHeight="1" x14ac:dyDescent="0.3">
      <c r="K183" s="78" t="s">
        <v>469</v>
      </c>
      <c r="L183" s="79">
        <v>50</v>
      </c>
      <c r="M183" s="79">
        <v>10</v>
      </c>
      <c r="N183" s="80">
        <v>5</v>
      </c>
      <c r="O183" s="79">
        <v>7023</v>
      </c>
      <c r="P183" s="79">
        <v>23537</v>
      </c>
      <c r="Q183" s="79">
        <v>106</v>
      </c>
      <c r="R183" s="79">
        <v>93</v>
      </c>
      <c r="S183" s="78" t="s">
        <v>320</v>
      </c>
    </row>
    <row r="184" spans="11:19" ht="19.95" customHeight="1" x14ac:dyDescent="0.3">
      <c r="K184" s="78" t="s">
        <v>470</v>
      </c>
      <c r="L184" s="79">
        <v>50</v>
      </c>
      <c r="M184" s="79">
        <v>20</v>
      </c>
      <c r="N184" s="80">
        <v>10</v>
      </c>
      <c r="O184" s="79">
        <v>5149</v>
      </c>
      <c r="P184" s="79">
        <v>12118</v>
      </c>
      <c r="Q184" s="79">
        <v>46</v>
      </c>
      <c r="R184" s="79">
        <v>121</v>
      </c>
      <c r="S184" s="78" t="s">
        <v>320</v>
      </c>
    </row>
    <row r="185" spans="11:19" ht="19.95" customHeight="1" x14ac:dyDescent="0.3">
      <c r="K185" s="78" t="s">
        <v>471</v>
      </c>
      <c r="L185" s="79">
        <v>63</v>
      </c>
      <c r="M185" s="79">
        <v>10</v>
      </c>
      <c r="N185" s="80">
        <v>10</v>
      </c>
      <c r="O185" s="79">
        <v>786</v>
      </c>
      <c r="P185" s="79">
        <v>30430</v>
      </c>
      <c r="Q185" s="79">
        <v>80</v>
      </c>
      <c r="R185" s="79">
        <v>120</v>
      </c>
      <c r="S185" s="78" t="s">
        <v>320</v>
      </c>
    </row>
    <row r="186" spans="11:19" ht="19.95" customHeight="1" x14ac:dyDescent="0.3">
      <c r="K186" s="78" t="s">
        <v>472</v>
      </c>
      <c r="L186" s="79">
        <v>16</v>
      </c>
      <c r="M186" s="79">
        <v>5</v>
      </c>
      <c r="N186" s="80">
        <v>3</v>
      </c>
      <c r="O186" s="79">
        <v>1510</v>
      </c>
      <c r="P186" s="79">
        <v>1643</v>
      </c>
      <c r="Q186" s="79"/>
      <c r="R186" s="79">
        <v>35</v>
      </c>
      <c r="S186" s="78" t="s">
        <v>318</v>
      </c>
    </row>
    <row r="187" spans="11:19" ht="19.95" customHeight="1" x14ac:dyDescent="0.3">
      <c r="K187" s="78" t="s">
        <v>473</v>
      </c>
      <c r="L187" s="79">
        <v>20</v>
      </c>
      <c r="M187" s="79">
        <v>10</v>
      </c>
      <c r="N187" s="80">
        <v>3</v>
      </c>
      <c r="O187" s="79">
        <v>1316</v>
      </c>
      <c r="P187" s="79">
        <v>2173</v>
      </c>
      <c r="Q187" s="79"/>
      <c r="R187" s="79">
        <v>60</v>
      </c>
      <c r="S187" s="78" t="s">
        <v>318</v>
      </c>
    </row>
    <row r="188" spans="11:19" ht="19.95" customHeight="1" x14ac:dyDescent="0.3"/>
    <row r="189" spans="11:19" ht="19.95" customHeight="1" x14ac:dyDescent="0.3"/>
    <row r="190" spans="11:19" ht="19.95" customHeight="1" x14ac:dyDescent="0.3"/>
    <row r="191" spans="11:19" ht="19.95" customHeight="1" x14ac:dyDescent="0.3"/>
    <row r="192" spans="11:19" ht="19.95" customHeight="1" x14ac:dyDescent="0.3"/>
    <row r="193" ht="19.95" customHeight="1" x14ac:dyDescent="0.3"/>
    <row r="194" ht="19.95" customHeight="1" x14ac:dyDescent="0.3"/>
    <row r="195" ht="19.95" customHeight="1" x14ac:dyDescent="0.3"/>
    <row r="196" ht="19.95" customHeight="1" x14ac:dyDescent="0.3"/>
    <row r="197" ht="19.95" customHeight="1" x14ac:dyDescent="0.3"/>
    <row r="198" ht="19.95" customHeight="1" x14ac:dyDescent="0.3"/>
    <row r="199" ht="19.95" customHeight="1" x14ac:dyDescent="0.3"/>
    <row r="200" ht="19.95" customHeight="1" x14ac:dyDescent="0.3"/>
    <row r="201" ht="19.95" customHeight="1" x14ac:dyDescent="0.3"/>
  </sheetData>
  <dataConsolidate/>
  <mergeCells count="8">
    <mergeCell ref="A88:E88"/>
    <mergeCell ref="A89:E89"/>
    <mergeCell ref="B154:C154"/>
    <mergeCell ref="A84:E84"/>
    <mergeCell ref="A85:E85"/>
    <mergeCell ref="A86:E86"/>
    <mergeCell ref="A87:E87"/>
    <mergeCell ref="A90:E90"/>
  </mergeCells>
  <phoneticPr fontId="6" type="noConversion"/>
  <conditionalFormatting sqref="B144">
    <cfRule type="cellIs" dxfId="25" priority="3" stopIfTrue="1" operator="greaterThanOrEqual">
      <formula>$B$10</formula>
    </cfRule>
    <cfRule type="cellIs" dxfId="24" priority="4" stopIfTrue="1" operator="lessThan">
      <formula>$B$10</formula>
    </cfRule>
  </conditionalFormatting>
  <conditionalFormatting sqref="B148">
    <cfRule type="cellIs" dxfId="23" priority="5" stopIfTrue="1" operator="lessThan">
      <formula>$B$71</formula>
    </cfRule>
    <cfRule type="cellIs" dxfId="22" priority="6" stopIfTrue="1" operator="greaterThanOrEqual">
      <formula>$B$71</formula>
    </cfRule>
  </conditionalFormatting>
  <conditionalFormatting sqref="D65">
    <cfRule type="cellIs" dxfId="21" priority="7" stopIfTrue="1" operator="lessThanOrEqual">
      <formula>$B$31</formula>
    </cfRule>
    <cfRule type="cellIs" dxfId="20" priority="8" stopIfTrue="1" operator="greaterThan">
      <formula>$B$31</formula>
    </cfRule>
  </conditionalFormatting>
  <conditionalFormatting sqref="B57">
    <cfRule type="cellIs" dxfId="19" priority="9" stopIfTrue="1" operator="greaterThanOrEqual">
      <formula>$H$24</formula>
    </cfRule>
    <cfRule type="cellIs" dxfId="18" priority="10" stopIfTrue="1" operator="lessThan">
      <formula>$F$24+$H$24</formula>
    </cfRule>
  </conditionalFormatting>
  <conditionalFormatting sqref="D64">
    <cfRule type="cellIs" dxfId="17" priority="13" stopIfTrue="1" operator="lessThanOrEqual">
      <formula>2000</formula>
    </cfRule>
    <cfRule type="cellIs" dxfId="16" priority="14" stopIfTrue="1" operator="greaterThan">
      <formula>2000</formula>
    </cfRule>
  </conditionalFormatting>
  <conditionalFormatting sqref="B60">
    <cfRule type="cellIs" dxfId="15" priority="1" stopIfTrue="1" operator="lessThanOrEqual">
      <formula>$B$9</formula>
    </cfRule>
    <cfRule type="cellIs" dxfId="14" priority="2" stopIfTrue="1" operator="greaterThan">
      <formula>$B$9</formula>
    </cfRule>
  </conditionalFormatting>
  <dataValidations disablePrompts="1" count="7">
    <dataValidation type="list" allowBlank="1" showInputMessage="1" showErrorMessage="1" sqref="A104 WVI983136 WLM983136 WBQ983136 VRU983136 VHY983136 UYC983136 UOG983136 UEK983136 TUO983136 TKS983136 TAW983136 SRA983136 SHE983136 RXI983136 RNM983136 RDQ983136 QTU983136 QJY983136 QAC983136 PQG983136 PGK983136 OWO983136 OMS983136 OCW983136 NTA983136 NJE983136 MZI983136 MPM983136 MFQ983136 LVU983136 LLY983136 LCC983136 KSG983136 KIK983136 JYO983136 JOS983136 JEW983136 IVA983136 ILE983136 IBI983136 HRM983136 HHQ983136 GXU983136 GNY983136 GEC983136 FUG983136 FKK983136 FAO983136 EQS983136 EGW983136 DXA983136 DNE983136 DDI983136 CTM983136 CJQ983136 BZU983136 BPY983136 BGC983136 AWG983136 AMK983136 ACO983136 SS983136 IW983136 A983066 WVI917600 WLM917600 WBQ917600 VRU917600 VHY917600 UYC917600 UOG917600 UEK917600 TUO917600 TKS917600 TAW917600 SRA917600 SHE917600 RXI917600 RNM917600 RDQ917600 QTU917600 QJY917600 QAC917600 PQG917600 PGK917600 OWO917600 OMS917600 OCW917600 NTA917600 NJE917600 MZI917600 MPM917600 MFQ917600 LVU917600 LLY917600 LCC917600 KSG917600 KIK917600 JYO917600 JOS917600 JEW917600 IVA917600 ILE917600 IBI917600 HRM917600 HHQ917600 GXU917600 GNY917600 GEC917600 FUG917600 FKK917600 FAO917600 EQS917600 EGW917600 DXA917600 DNE917600 DDI917600 CTM917600 CJQ917600 BZU917600 BPY917600 BGC917600 AWG917600 AMK917600 ACO917600 SS917600 IW917600 A917530 WVI852064 WLM852064 WBQ852064 VRU852064 VHY852064 UYC852064 UOG852064 UEK852064 TUO852064 TKS852064 TAW852064 SRA852064 SHE852064 RXI852064 RNM852064 RDQ852064 QTU852064 QJY852064 QAC852064 PQG852064 PGK852064 OWO852064 OMS852064 OCW852064 NTA852064 NJE852064 MZI852064 MPM852064 MFQ852064 LVU852064 LLY852064 LCC852064 KSG852064 KIK852064 JYO852064 JOS852064 JEW852064 IVA852064 ILE852064 IBI852064 HRM852064 HHQ852064 GXU852064 GNY852064 GEC852064 FUG852064 FKK852064 FAO852064 EQS852064 EGW852064 DXA852064 DNE852064 DDI852064 CTM852064 CJQ852064 BZU852064 BPY852064 BGC852064 AWG852064 AMK852064 ACO852064 SS852064 IW852064 A851994 WVI786528 WLM786528 WBQ786528 VRU786528 VHY786528 UYC786528 UOG786528 UEK786528 TUO786528 TKS786528 TAW786528 SRA786528 SHE786528 RXI786528 RNM786528 RDQ786528 QTU786528 QJY786528 QAC786528 PQG786528 PGK786528 OWO786528 OMS786528 OCW786528 NTA786528 NJE786528 MZI786528 MPM786528 MFQ786528 LVU786528 LLY786528 LCC786528 KSG786528 KIK786528 JYO786528 JOS786528 JEW786528 IVA786528 ILE786528 IBI786528 HRM786528 HHQ786528 GXU786528 GNY786528 GEC786528 FUG786528 FKK786528 FAO786528 EQS786528 EGW786528 DXA786528 DNE786528 DDI786528 CTM786528 CJQ786528 BZU786528 BPY786528 BGC786528 AWG786528 AMK786528 ACO786528 SS786528 IW786528 A786458 WVI720992 WLM720992 WBQ720992 VRU720992 VHY720992 UYC720992 UOG720992 UEK720992 TUO720992 TKS720992 TAW720992 SRA720992 SHE720992 RXI720992 RNM720992 RDQ720992 QTU720992 QJY720992 QAC720992 PQG720992 PGK720992 OWO720992 OMS720992 OCW720992 NTA720992 NJE720992 MZI720992 MPM720992 MFQ720992 LVU720992 LLY720992 LCC720992 KSG720992 KIK720992 JYO720992 JOS720992 JEW720992 IVA720992 ILE720992 IBI720992 HRM720992 HHQ720992 GXU720992 GNY720992 GEC720992 FUG720992 FKK720992 FAO720992 EQS720992 EGW720992 DXA720992 DNE720992 DDI720992 CTM720992 CJQ720992 BZU720992 BPY720992 BGC720992 AWG720992 AMK720992 ACO720992 SS720992 IW720992 A720922 WVI655456 WLM655456 WBQ655456 VRU655456 VHY655456 UYC655456 UOG655456 UEK655456 TUO655456 TKS655456 TAW655456 SRA655456 SHE655456 RXI655456 RNM655456 RDQ655456 QTU655456 QJY655456 QAC655456 PQG655456 PGK655456 OWO655456 OMS655456 OCW655456 NTA655456 NJE655456 MZI655456 MPM655456 MFQ655456 LVU655456 LLY655456 LCC655456 KSG655456 KIK655456 JYO655456 JOS655456 JEW655456 IVA655456 ILE655456 IBI655456 HRM655456 HHQ655456 GXU655456 GNY655456 GEC655456 FUG655456 FKK655456 FAO655456 EQS655456 EGW655456 DXA655456 DNE655456 DDI655456 CTM655456 CJQ655456 BZU655456 BPY655456 BGC655456 AWG655456 AMK655456 ACO655456 SS655456 IW655456 A655386 WVI589920 WLM589920 WBQ589920 VRU589920 VHY589920 UYC589920 UOG589920 UEK589920 TUO589920 TKS589920 TAW589920 SRA589920 SHE589920 RXI589920 RNM589920 RDQ589920 QTU589920 QJY589920 QAC589920 PQG589920 PGK589920 OWO589920 OMS589920 OCW589920 NTA589920 NJE589920 MZI589920 MPM589920 MFQ589920 LVU589920 LLY589920 LCC589920 KSG589920 KIK589920 JYO589920 JOS589920 JEW589920 IVA589920 ILE589920 IBI589920 HRM589920 HHQ589920 GXU589920 GNY589920 GEC589920 FUG589920 FKK589920 FAO589920 EQS589920 EGW589920 DXA589920 DNE589920 DDI589920 CTM589920 CJQ589920 BZU589920 BPY589920 BGC589920 AWG589920 AMK589920 ACO589920 SS589920 IW589920 A589850 WVI524384 WLM524384 WBQ524384 VRU524384 VHY524384 UYC524384 UOG524384 UEK524384 TUO524384 TKS524384 TAW524384 SRA524384 SHE524384 RXI524384 RNM524384 RDQ524384 QTU524384 QJY524384 QAC524384 PQG524384 PGK524384 OWO524384 OMS524384 OCW524384 NTA524384 NJE524384 MZI524384 MPM524384 MFQ524384 LVU524384 LLY524384 LCC524384 KSG524384 KIK524384 JYO524384 JOS524384 JEW524384 IVA524384 ILE524384 IBI524384 HRM524384 HHQ524384 GXU524384 GNY524384 GEC524384 FUG524384 FKK524384 FAO524384 EQS524384 EGW524384 DXA524384 DNE524384 DDI524384 CTM524384 CJQ524384 BZU524384 BPY524384 BGC524384 AWG524384 AMK524384 ACO524384 SS524384 IW524384 A524314 WVI458848 WLM458848 WBQ458848 VRU458848 VHY458848 UYC458848 UOG458848 UEK458848 TUO458848 TKS458848 TAW458848 SRA458848 SHE458848 RXI458848 RNM458848 RDQ458848 QTU458848 QJY458848 QAC458848 PQG458848 PGK458848 OWO458848 OMS458848 OCW458848 NTA458848 NJE458848 MZI458848 MPM458848 MFQ458848 LVU458848 LLY458848 LCC458848 KSG458848 KIK458848 JYO458848 JOS458848 JEW458848 IVA458848 ILE458848 IBI458848 HRM458848 HHQ458848 GXU458848 GNY458848 GEC458848 FUG458848 FKK458848 FAO458848 EQS458848 EGW458848 DXA458848 DNE458848 DDI458848 CTM458848 CJQ458848 BZU458848 BPY458848 BGC458848 AWG458848 AMK458848 ACO458848 SS458848 IW458848 A458778 WVI393312 WLM393312 WBQ393312 VRU393312 VHY393312 UYC393312 UOG393312 UEK393312 TUO393312 TKS393312 TAW393312 SRA393312 SHE393312 RXI393312 RNM393312 RDQ393312 QTU393312 QJY393312 QAC393312 PQG393312 PGK393312 OWO393312 OMS393312 OCW393312 NTA393312 NJE393312 MZI393312 MPM393312 MFQ393312 LVU393312 LLY393312 LCC393312 KSG393312 KIK393312 JYO393312 JOS393312 JEW393312 IVA393312 ILE393312 IBI393312 HRM393312 HHQ393312 GXU393312 GNY393312 GEC393312 FUG393312 FKK393312 FAO393312 EQS393312 EGW393312 DXA393312 DNE393312 DDI393312 CTM393312 CJQ393312 BZU393312 BPY393312 BGC393312 AWG393312 AMK393312 ACO393312 SS393312 IW393312 A393242 WVI327776 WLM327776 WBQ327776 VRU327776 VHY327776 UYC327776 UOG327776 UEK327776 TUO327776 TKS327776 TAW327776 SRA327776 SHE327776 RXI327776 RNM327776 RDQ327776 QTU327776 QJY327776 QAC327776 PQG327776 PGK327776 OWO327776 OMS327776 OCW327776 NTA327776 NJE327776 MZI327776 MPM327776 MFQ327776 LVU327776 LLY327776 LCC327776 KSG327776 KIK327776 JYO327776 JOS327776 JEW327776 IVA327776 ILE327776 IBI327776 HRM327776 HHQ327776 GXU327776 GNY327776 GEC327776 FUG327776 FKK327776 FAO327776 EQS327776 EGW327776 DXA327776 DNE327776 DDI327776 CTM327776 CJQ327776 BZU327776 BPY327776 BGC327776 AWG327776 AMK327776 ACO327776 SS327776 IW327776 A327706 WVI262240 WLM262240 WBQ262240 VRU262240 VHY262240 UYC262240 UOG262240 UEK262240 TUO262240 TKS262240 TAW262240 SRA262240 SHE262240 RXI262240 RNM262240 RDQ262240 QTU262240 QJY262240 QAC262240 PQG262240 PGK262240 OWO262240 OMS262240 OCW262240 NTA262240 NJE262240 MZI262240 MPM262240 MFQ262240 LVU262240 LLY262240 LCC262240 KSG262240 KIK262240 JYO262240 JOS262240 JEW262240 IVA262240 ILE262240 IBI262240 HRM262240 HHQ262240 GXU262240 GNY262240 GEC262240 FUG262240 FKK262240 FAO262240 EQS262240 EGW262240 DXA262240 DNE262240 DDI262240 CTM262240 CJQ262240 BZU262240 BPY262240 BGC262240 AWG262240 AMK262240 ACO262240 SS262240 IW262240 A262170 WVI196704 WLM196704 WBQ196704 VRU196704 VHY196704 UYC196704 UOG196704 UEK196704 TUO196704 TKS196704 TAW196704 SRA196704 SHE196704 RXI196704 RNM196704 RDQ196704 QTU196704 QJY196704 QAC196704 PQG196704 PGK196704 OWO196704 OMS196704 OCW196704 NTA196704 NJE196704 MZI196704 MPM196704 MFQ196704 LVU196704 LLY196704 LCC196704 KSG196704 KIK196704 JYO196704 JOS196704 JEW196704 IVA196704 ILE196704 IBI196704 HRM196704 HHQ196704 GXU196704 GNY196704 GEC196704 FUG196704 FKK196704 FAO196704 EQS196704 EGW196704 DXA196704 DNE196704 DDI196704 CTM196704 CJQ196704 BZU196704 BPY196704 BGC196704 AWG196704 AMK196704 ACO196704 SS196704 IW196704 A196634 WVI131168 WLM131168 WBQ131168 VRU131168 VHY131168 UYC131168 UOG131168 UEK131168 TUO131168 TKS131168 TAW131168 SRA131168 SHE131168 RXI131168 RNM131168 RDQ131168 QTU131168 QJY131168 QAC131168 PQG131168 PGK131168 OWO131168 OMS131168 OCW131168 NTA131168 NJE131168 MZI131168 MPM131168 MFQ131168 LVU131168 LLY131168 LCC131168 KSG131168 KIK131168 JYO131168 JOS131168 JEW131168 IVA131168 ILE131168 IBI131168 HRM131168 HHQ131168 GXU131168 GNY131168 GEC131168 FUG131168 FKK131168 FAO131168 EQS131168 EGW131168 DXA131168 DNE131168 DDI131168 CTM131168 CJQ131168 BZU131168 BPY131168 BGC131168 AWG131168 AMK131168 ACO131168 SS131168 IW131168 A131098 WVI65632 WLM65632 WBQ65632 VRU65632 VHY65632 UYC65632 UOG65632 UEK65632 TUO65632 TKS65632 TAW65632 SRA65632 SHE65632 RXI65632 RNM65632 RDQ65632 QTU65632 QJY65632 QAC65632 PQG65632 PGK65632 OWO65632 OMS65632 OCW65632 NTA65632 NJE65632 MZI65632 MPM65632 MFQ65632 LVU65632 LLY65632 LCC65632 KSG65632 KIK65632 JYO65632 JOS65632 JEW65632 IVA65632 ILE65632 IBI65632 HRM65632 HHQ65632 GXU65632 GNY65632 GEC65632 FUG65632 FKK65632 FAO65632 EQS65632 EGW65632 DXA65632 DNE65632 DDI65632 CTM65632 CJQ65632 BZU65632 BPY65632 BGC65632 AWG65632 AMK65632 ACO65632 SS65632 IW65632 A65562 WVI96 WLM96 WBQ96 VRU96 VHY96 UYC96 UOG96 UEK96 TUO96 TKS96 TAW96 SRA96 SHE96 RXI96 RNM96 RDQ96 QTU96 QJY96 QAC96 PQG96 PGK96 OWO96 OMS96 OCW96 NTA96 NJE96 MZI96 MPM96 MFQ96 LVU96 LLY96 LCC96 KSG96 KIK96 JYO96 JOS96 JEW96 IVA96 ILE96 IBI96 HRM96 HHQ96 GXU96 GNY96 GEC96 FUG96 FKK96 FAO96 EQS96 EGW96 DXA96 DNE96 DDI96 CTM96 CJQ96 BZU96 BPY96 BGC96 AWG96 AMK96 ACO96 SS96 IW96 WVI983151 WLM983151 WBQ983151 VRU983151 VHY983151 UYC983151 UOG983151 UEK983151 TUO983151 TKS983151 TAW983151 SRA983151 SHE983151 RXI983151 RNM983151 RDQ983151 QTU983151 QJY983151 QAC983151 PQG983151 PGK983151 OWO983151 OMS983151 OCW983151 NTA983151 NJE983151 MZI983151 MPM983151 MFQ983151 LVU983151 LLY983151 LCC983151 KSG983151 KIK983151 JYO983151 JOS983151 JEW983151 IVA983151 ILE983151 IBI983151 HRM983151 HHQ983151 GXU983151 GNY983151 GEC983151 FUG983151 FKK983151 FAO983151 EQS983151 EGW983151 DXA983151 DNE983151 DDI983151 CTM983151 CJQ983151 BZU983151 BPY983151 BGC983151 AWG983151 AMK983151 ACO983151 SS983151 IW983151 A983081 WVI917615 WLM917615 WBQ917615 VRU917615 VHY917615 UYC917615 UOG917615 UEK917615 TUO917615 TKS917615 TAW917615 SRA917615 SHE917615 RXI917615 RNM917615 RDQ917615 QTU917615 QJY917615 QAC917615 PQG917615 PGK917615 OWO917615 OMS917615 OCW917615 NTA917615 NJE917615 MZI917615 MPM917615 MFQ917615 LVU917615 LLY917615 LCC917615 KSG917615 KIK917615 JYO917615 JOS917615 JEW917615 IVA917615 ILE917615 IBI917615 HRM917615 HHQ917615 GXU917615 GNY917615 GEC917615 FUG917615 FKK917615 FAO917615 EQS917615 EGW917615 DXA917615 DNE917615 DDI917615 CTM917615 CJQ917615 BZU917615 BPY917615 BGC917615 AWG917615 AMK917615 ACO917615 SS917615 IW917615 A917545 WVI852079 WLM852079 WBQ852079 VRU852079 VHY852079 UYC852079 UOG852079 UEK852079 TUO852079 TKS852079 TAW852079 SRA852079 SHE852079 RXI852079 RNM852079 RDQ852079 QTU852079 QJY852079 QAC852079 PQG852079 PGK852079 OWO852079 OMS852079 OCW852079 NTA852079 NJE852079 MZI852079 MPM852079 MFQ852079 LVU852079 LLY852079 LCC852079 KSG852079 KIK852079 JYO852079 JOS852079 JEW852079 IVA852079 ILE852079 IBI852079 HRM852079 HHQ852079 GXU852079 GNY852079 GEC852079 FUG852079 FKK852079 FAO852079 EQS852079 EGW852079 DXA852079 DNE852079 DDI852079 CTM852079 CJQ852079 BZU852079 BPY852079 BGC852079 AWG852079 AMK852079 ACO852079 SS852079 IW852079 A852009 WVI786543 WLM786543 WBQ786543 VRU786543 VHY786543 UYC786543 UOG786543 UEK786543 TUO786543 TKS786543 TAW786543 SRA786543 SHE786543 RXI786543 RNM786543 RDQ786543 QTU786543 QJY786543 QAC786543 PQG786543 PGK786543 OWO786543 OMS786543 OCW786543 NTA786543 NJE786543 MZI786543 MPM786543 MFQ786543 LVU786543 LLY786543 LCC786543 KSG786543 KIK786543 JYO786543 JOS786543 JEW786543 IVA786543 ILE786543 IBI786543 HRM786543 HHQ786543 GXU786543 GNY786543 GEC786543 FUG786543 FKK786543 FAO786543 EQS786543 EGW786543 DXA786543 DNE786543 DDI786543 CTM786543 CJQ786543 BZU786543 BPY786543 BGC786543 AWG786543 AMK786543 ACO786543 SS786543 IW786543 A786473 WVI721007 WLM721007 WBQ721007 VRU721007 VHY721007 UYC721007 UOG721007 UEK721007 TUO721007 TKS721007 TAW721007 SRA721007 SHE721007 RXI721007 RNM721007 RDQ721007 QTU721007 QJY721007 QAC721007 PQG721007 PGK721007 OWO721007 OMS721007 OCW721007 NTA721007 NJE721007 MZI721007 MPM721007 MFQ721007 LVU721007 LLY721007 LCC721007 KSG721007 KIK721007 JYO721007 JOS721007 JEW721007 IVA721007 ILE721007 IBI721007 HRM721007 HHQ721007 GXU721007 GNY721007 GEC721007 FUG721007 FKK721007 FAO721007 EQS721007 EGW721007 DXA721007 DNE721007 DDI721007 CTM721007 CJQ721007 BZU721007 BPY721007 BGC721007 AWG721007 AMK721007 ACO721007 SS721007 IW721007 A720937 WVI655471 WLM655471 WBQ655471 VRU655471 VHY655471 UYC655471 UOG655471 UEK655471 TUO655471 TKS655471 TAW655471 SRA655471 SHE655471 RXI655471 RNM655471 RDQ655471 QTU655471 QJY655471 QAC655471 PQG655471 PGK655471 OWO655471 OMS655471 OCW655471 NTA655471 NJE655471 MZI655471 MPM655471 MFQ655471 LVU655471 LLY655471 LCC655471 KSG655471 KIK655471 JYO655471 JOS655471 JEW655471 IVA655471 ILE655471 IBI655471 HRM655471 HHQ655471 GXU655471 GNY655471 GEC655471 FUG655471 FKK655471 FAO655471 EQS655471 EGW655471 DXA655471 DNE655471 DDI655471 CTM655471 CJQ655471 BZU655471 BPY655471 BGC655471 AWG655471 AMK655471 ACO655471 SS655471 IW655471 A655401 WVI589935 WLM589935 WBQ589935 VRU589935 VHY589935 UYC589935 UOG589935 UEK589935 TUO589935 TKS589935 TAW589935 SRA589935 SHE589935 RXI589935 RNM589935 RDQ589935 QTU589935 QJY589935 QAC589935 PQG589935 PGK589935 OWO589935 OMS589935 OCW589935 NTA589935 NJE589935 MZI589935 MPM589935 MFQ589935 LVU589935 LLY589935 LCC589935 KSG589935 KIK589935 JYO589935 JOS589935 JEW589935 IVA589935 ILE589935 IBI589935 HRM589935 HHQ589935 GXU589935 GNY589935 GEC589935 FUG589935 FKK589935 FAO589935 EQS589935 EGW589935 DXA589935 DNE589935 DDI589935 CTM589935 CJQ589935 BZU589935 BPY589935 BGC589935 AWG589935 AMK589935 ACO589935 SS589935 IW589935 A589865 WVI524399 WLM524399 WBQ524399 VRU524399 VHY524399 UYC524399 UOG524399 UEK524399 TUO524399 TKS524399 TAW524399 SRA524399 SHE524399 RXI524399 RNM524399 RDQ524399 QTU524399 QJY524399 QAC524399 PQG524399 PGK524399 OWO524399 OMS524399 OCW524399 NTA524399 NJE524399 MZI524399 MPM524399 MFQ524399 LVU524399 LLY524399 LCC524399 KSG524399 KIK524399 JYO524399 JOS524399 JEW524399 IVA524399 ILE524399 IBI524399 HRM524399 HHQ524399 GXU524399 GNY524399 GEC524399 FUG524399 FKK524399 FAO524399 EQS524399 EGW524399 DXA524399 DNE524399 DDI524399 CTM524399 CJQ524399 BZU524399 BPY524399 BGC524399 AWG524399 AMK524399 ACO524399 SS524399 IW524399 A524329 WVI458863 WLM458863 WBQ458863 VRU458863 VHY458863 UYC458863 UOG458863 UEK458863 TUO458863 TKS458863 TAW458863 SRA458863 SHE458863 RXI458863 RNM458863 RDQ458863 QTU458863 QJY458863 QAC458863 PQG458863 PGK458863 OWO458863 OMS458863 OCW458863 NTA458863 NJE458863 MZI458863 MPM458863 MFQ458863 LVU458863 LLY458863 LCC458863 KSG458863 KIK458863 JYO458863 JOS458863 JEW458863 IVA458863 ILE458863 IBI458863 HRM458863 HHQ458863 GXU458863 GNY458863 GEC458863 FUG458863 FKK458863 FAO458863 EQS458863 EGW458863 DXA458863 DNE458863 DDI458863 CTM458863 CJQ458863 BZU458863 BPY458863 BGC458863 AWG458863 AMK458863 ACO458863 SS458863 IW458863 A458793 WVI393327 WLM393327 WBQ393327 VRU393327 VHY393327 UYC393327 UOG393327 UEK393327 TUO393327 TKS393327 TAW393327 SRA393327 SHE393327 RXI393327 RNM393327 RDQ393327 QTU393327 QJY393327 QAC393327 PQG393327 PGK393327 OWO393327 OMS393327 OCW393327 NTA393327 NJE393327 MZI393327 MPM393327 MFQ393327 LVU393327 LLY393327 LCC393327 KSG393327 KIK393327 JYO393327 JOS393327 JEW393327 IVA393327 ILE393327 IBI393327 HRM393327 HHQ393327 GXU393327 GNY393327 GEC393327 FUG393327 FKK393327 FAO393327 EQS393327 EGW393327 DXA393327 DNE393327 DDI393327 CTM393327 CJQ393327 BZU393327 BPY393327 BGC393327 AWG393327 AMK393327 ACO393327 SS393327 IW393327 A393257 WVI327791 WLM327791 WBQ327791 VRU327791 VHY327791 UYC327791 UOG327791 UEK327791 TUO327791 TKS327791 TAW327791 SRA327791 SHE327791 RXI327791 RNM327791 RDQ327791 QTU327791 QJY327791 QAC327791 PQG327791 PGK327791 OWO327791 OMS327791 OCW327791 NTA327791 NJE327791 MZI327791 MPM327791 MFQ327791 LVU327791 LLY327791 LCC327791 KSG327791 KIK327791 JYO327791 JOS327791 JEW327791 IVA327791 ILE327791 IBI327791 HRM327791 HHQ327791 GXU327791 GNY327791 GEC327791 FUG327791 FKK327791 FAO327791 EQS327791 EGW327791 DXA327791 DNE327791 DDI327791 CTM327791 CJQ327791 BZU327791 BPY327791 BGC327791 AWG327791 AMK327791 ACO327791 SS327791 IW327791 A327721 WVI262255 WLM262255 WBQ262255 VRU262255 VHY262255 UYC262255 UOG262255 UEK262255 TUO262255 TKS262255 TAW262255 SRA262255 SHE262255 RXI262255 RNM262255 RDQ262255 QTU262255 QJY262255 QAC262255 PQG262255 PGK262255 OWO262255 OMS262255 OCW262255 NTA262255 NJE262255 MZI262255 MPM262255 MFQ262255 LVU262255 LLY262255 LCC262255 KSG262255 KIK262255 JYO262255 JOS262255 JEW262255 IVA262255 ILE262255 IBI262255 HRM262255 HHQ262255 GXU262255 GNY262255 GEC262255 FUG262255 FKK262255 FAO262255 EQS262255 EGW262255 DXA262255 DNE262255 DDI262255 CTM262255 CJQ262255 BZU262255 BPY262255 BGC262255 AWG262255 AMK262255 ACO262255 SS262255 IW262255 A262185 WVI196719 WLM196719 WBQ196719 VRU196719 VHY196719 UYC196719 UOG196719 UEK196719 TUO196719 TKS196719 TAW196719 SRA196719 SHE196719 RXI196719 RNM196719 RDQ196719 QTU196719 QJY196719 QAC196719 PQG196719 PGK196719 OWO196719 OMS196719 OCW196719 NTA196719 NJE196719 MZI196719 MPM196719 MFQ196719 LVU196719 LLY196719 LCC196719 KSG196719 KIK196719 JYO196719 JOS196719 JEW196719 IVA196719 ILE196719 IBI196719 HRM196719 HHQ196719 GXU196719 GNY196719 GEC196719 FUG196719 FKK196719 FAO196719 EQS196719 EGW196719 DXA196719 DNE196719 DDI196719 CTM196719 CJQ196719 BZU196719 BPY196719 BGC196719 AWG196719 AMK196719 ACO196719 SS196719 IW196719 A196649 WVI131183 WLM131183 WBQ131183 VRU131183 VHY131183 UYC131183 UOG131183 UEK131183 TUO131183 TKS131183 TAW131183 SRA131183 SHE131183 RXI131183 RNM131183 RDQ131183 QTU131183 QJY131183 QAC131183 PQG131183 PGK131183 OWO131183 OMS131183 OCW131183 NTA131183 NJE131183 MZI131183 MPM131183 MFQ131183 LVU131183 LLY131183 LCC131183 KSG131183 KIK131183 JYO131183 JOS131183 JEW131183 IVA131183 ILE131183 IBI131183 HRM131183 HHQ131183 GXU131183 GNY131183 GEC131183 FUG131183 FKK131183 FAO131183 EQS131183 EGW131183 DXA131183 DNE131183 DDI131183 CTM131183 CJQ131183 BZU131183 BPY131183 BGC131183 AWG131183 AMK131183 ACO131183 SS131183 IW131183 A131113 WVI65647 WLM65647 WBQ65647 VRU65647 VHY65647 UYC65647 UOG65647 UEK65647 TUO65647 TKS65647 TAW65647 SRA65647 SHE65647 RXI65647 RNM65647 RDQ65647 QTU65647 QJY65647 QAC65647 PQG65647 PGK65647 OWO65647 OMS65647 OCW65647 NTA65647 NJE65647 MZI65647 MPM65647 MFQ65647 LVU65647 LLY65647 LCC65647 KSG65647 KIK65647 JYO65647 JOS65647 JEW65647 IVA65647 ILE65647 IBI65647 HRM65647 HHQ65647 GXU65647 GNY65647 GEC65647 FUG65647 FKK65647 FAO65647 EQS65647 EGW65647 DXA65647 DNE65647 DDI65647 CTM65647 CJQ65647 BZU65647 BPY65647 BGC65647 AWG65647 AMK65647 ACO65647 SS65647 IW65647 A65577 WVI111 WLM111 WBQ111 VRU111 VHY111 UYC111 UOG111 UEK111 TUO111 TKS111 TAW111 SRA111 SHE111 RXI111 RNM111 RDQ111 QTU111 QJY111 QAC111 PQG111 PGK111 OWO111 OMS111 OCW111 NTA111 NJE111 MZI111 MPM111 MFQ111 LVU111 LLY111 LCC111 KSG111 KIK111 JYO111 JOS111 JEW111 IVA111 ILE111 IBI111 HRM111 HHQ111 GXU111 GNY111 GEC111 FUG111 FKK111 FAO111 EQS111 EGW111 DXA111 DNE111 DDI111 CTM111 CJQ111 BZU111 BPY111 BGC111 AWG111 AMK111 ACO111 SS111 IW111 A121" xr:uid="{24599FBB-9F36-4021-BB1B-398297E109E4}">
      <formula1>$A$105:$A$108</formula1>
    </dataValidation>
    <dataValidation type="list" allowBlank="1" showInputMessage="1" showErrorMessage="1" sqref="A139 WVI983168 WLM983168 WBQ983168 VRU983168 VHY983168 UYC983168 UOG983168 UEK983168 TUO983168 TKS983168 TAW983168 SRA983168 SHE983168 RXI983168 RNM983168 RDQ983168 QTU983168 QJY983168 QAC983168 PQG983168 PGK983168 OWO983168 OMS983168 OCW983168 NTA983168 NJE983168 MZI983168 MPM983168 MFQ983168 LVU983168 LLY983168 LCC983168 KSG983168 KIK983168 JYO983168 JOS983168 JEW983168 IVA983168 ILE983168 IBI983168 HRM983168 HHQ983168 GXU983168 GNY983168 GEC983168 FUG983168 FKK983168 FAO983168 EQS983168 EGW983168 DXA983168 DNE983168 DDI983168 CTM983168 CJQ983168 BZU983168 BPY983168 BGC983168 AWG983168 AMK983168 ACO983168 SS983168 IW983168 A983098 WVI917632 WLM917632 WBQ917632 VRU917632 VHY917632 UYC917632 UOG917632 UEK917632 TUO917632 TKS917632 TAW917632 SRA917632 SHE917632 RXI917632 RNM917632 RDQ917632 QTU917632 QJY917632 QAC917632 PQG917632 PGK917632 OWO917632 OMS917632 OCW917632 NTA917632 NJE917632 MZI917632 MPM917632 MFQ917632 LVU917632 LLY917632 LCC917632 KSG917632 KIK917632 JYO917632 JOS917632 JEW917632 IVA917632 ILE917632 IBI917632 HRM917632 HHQ917632 GXU917632 GNY917632 GEC917632 FUG917632 FKK917632 FAO917632 EQS917632 EGW917632 DXA917632 DNE917632 DDI917632 CTM917632 CJQ917632 BZU917632 BPY917632 BGC917632 AWG917632 AMK917632 ACO917632 SS917632 IW917632 A917562 WVI852096 WLM852096 WBQ852096 VRU852096 VHY852096 UYC852096 UOG852096 UEK852096 TUO852096 TKS852096 TAW852096 SRA852096 SHE852096 RXI852096 RNM852096 RDQ852096 QTU852096 QJY852096 QAC852096 PQG852096 PGK852096 OWO852096 OMS852096 OCW852096 NTA852096 NJE852096 MZI852096 MPM852096 MFQ852096 LVU852096 LLY852096 LCC852096 KSG852096 KIK852096 JYO852096 JOS852096 JEW852096 IVA852096 ILE852096 IBI852096 HRM852096 HHQ852096 GXU852096 GNY852096 GEC852096 FUG852096 FKK852096 FAO852096 EQS852096 EGW852096 DXA852096 DNE852096 DDI852096 CTM852096 CJQ852096 BZU852096 BPY852096 BGC852096 AWG852096 AMK852096 ACO852096 SS852096 IW852096 A852026 WVI786560 WLM786560 WBQ786560 VRU786560 VHY786560 UYC786560 UOG786560 UEK786560 TUO786560 TKS786560 TAW786560 SRA786560 SHE786560 RXI786560 RNM786560 RDQ786560 QTU786560 QJY786560 QAC786560 PQG786560 PGK786560 OWO786560 OMS786560 OCW786560 NTA786560 NJE786560 MZI786560 MPM786560 MFQ786560 LVU786560 LLY786560 LCC786560 KSG786560 KIK786560 JYO786560 JOS786560 JEW786560 IVA786560 ILE786560 IBI786560 HRM786560 HHQ786560 GXU786560 GNY786560 GEC786560 FUG786560 FKK786560 FAO786560 EQS786560 EGW786560 DXA786560 DNE786560 DDI786560 CTM786560 CJQ786560 BZU786560 BPY786560 BGC786560 AWG786560 AMK786560 ACO786560 SS786560 IW786560 A786490 WVI721024 WLM721024 WBQ721024 VRU721024 VHY721024 UYC721024 UOG721024 UEK721024 TUO721024 TKS721024 TAW721024 SRA721024 SHE721024 RXI721024 RNM721024 RDQ721024 QTU721024 QJY721024 QAC721024 PQG721024 PGK721024 OWO721024 OMS721024 OCW721024 NTA721024 NJE721024 MZI721024 MPM721024 MFQ721024 LVU721024 LLY721024 LCC721024 KSG721024 KIK721024 JYO721024 JOS721024 JEW721024 IVA721024 ILE721024 IBI721024 HRM721024 HHQ721024 GXU721024 GNY721024 GEC721024 FUG721024 FKK721024 FAO721024 EQS721024 EGW721024 DXA721024 DNE721024 DDI721024 CTM721024 CJQ721024 BZU721024 BPY721024 BGC721024 AWG721024 AMK721024 ACO721024 SS721024 IW721024 A720954 WVI655488 WLM655488 WBQ655488 VRU655488 VHY655488 UYC655488 UOG655488 UEK655488 TUO655488 TKS655488 TAW655488 SRA655488 SHE655488 RXI655488 RNM655488 RDQ655488 QTU655488 QJY655488 QAC655488 PQG655488 PGK655488 OWO655488 OMS655488 OCW655488 NTA655488 NJE655488 MZI655488 MPM655488 MFQ655488 LVU655488 LLY655488 LCC655488 KSG655488 KIK655488 JYO655488 JOS655488 JEW655488 IVA655488 ILE655488 IBI655488 HRM655488 HHQ655488 GXU655488 GNY655488 GEC655488 FUG655488 FKK655488 FAO655488 EQS655488 EGW655488 DXA655488 DNE655488 DDI655488 CTM655488 CJQ655488 BZU655488 BPY655488 BGC655488 AWG655488 AMK655488 ACO655488 SS655488 IW655488 A655418 WVI589952 WLM589952 WBQ589952 VRU589952 VHY589952 UYC589952 UOG589952 UEK589952 TUO589952 TKS589952 TAW589952 SRA589952 SHE589952 RXI589952 RNM589952 RDQ589952 QTU589952 QJY589952 QAC589952 PQG589952 PGK589952 OWO589952 OMS589952 OCW589952 NTA589952 NJE589952 MZI589952 MPM589952 MFQ589952 LVU589952 LLY589952 LCC589952 KSG589952 KIK589952 JYO589952 JOS589952 JEW589952 IVA589952 ILE589952 IBI589952 HRM589952 HHQ589952 GXU589952 GNY589952 GEC589952 FUG589952 FKK589952 FAO589952 EQS589952 EGW589952 DXA589952 DNE589952 DDI589952 CTM589952 CJQ589952 BZU589952 BPY589952 BGC589952 AWG589952 AMK589952 ACO589952 SS589952 IW589952 A589882 WVI524416 WLM524416 WBQ524416 VRU524416 VHY524416 UYC524416 UOG524416 UEK524416 TUO524416 TKS524416 TAW524416 SRA524416 SHE524416 RXI524416 RNM524416 RDQ524416 QTU524416 QJY524416 QAC524416 PQG524416 PGK524416 OWO524416 OMS524416 OCW524416 NTA524416 NJE524416 MZI524416 MPM524416 MFQ524416 LVU524416 LLY524416 LCC524416 KSG524416 KIK524416 JYO524416 JOS524416 JEW524416 IVA524416 ILE524416 IBI524416 HRM524416 HHQ524416 GXU524416 GNY524416 GEC524416 FUG524416 FKK524416 FAO524416 EQS524416 EGW524416 DXA524416 DNE524416 DDI524416 CTM524416 CJQ524416 BZU524416 BPY524416 BGC524416 AWG524416 AMK524416 ACO524416 SS524416 IW524416 A524346 WVI458880 WLM458880 WBQ458880 VRU458880 VHY458880 UYC458880 UOG458880 UEK458880 TUO458880 TKS458880 TAW458880 SRA458880 SHE458880 RXI458880 RNM458880 RDQ458880 QTU458880 QJY458880 QAC458880 PQG458880 PGK458880 OWO458880 OMS458880 OCW458880 NTA458880 NJE458880 MZI458880 MPM458880 MFQ458880 LVU458880 LLY458880 LCC458880 KSG458880 KIK458880 JYO458880 JOS458880 JEW458880 IVA458880 ILE458880 IBI458880 HRM458880 HHQ458880 GXU458880 GNY458880 GEC458880 FUG458880 FKK458880 FAO458880 EQS458880 EGW458880 DXA458880 DNE458880 DDI458880 CTM458880 CJQ458880 BZU458880 BPY458880 BGC458880 AWG458880 AMK458880 ACO458880 SS458880 IW458880 A458810 WVI393344 WLM393344 WBQ393344 VRU393344 VHY393344 UYC393344 UOG393344 UEK393344 TUO393344 TKS393344 TAW393344 SRA393344 SHE393344 RXI393344 RNM393344 RDQ393344 QTU393344 QJY393344 QAC393344 PQG393344 PGK393344 OWO393344 OMS393344 OCW393344 NTA393344 NJE393344 MZI393344 MPM393344 MFQ393344 LVU393344 LLY393344 LCC393344 KSG393344 KIK393344 JYO393344 JOS393344 JEW393344 IVA393344 ILE393344 IBI393344 HRM393344 HHQ393344 GXU393344 GNY393344 GEC393344 FUG393344 FKK393344 FAO393344 EQS393344 EGW393344 DXA393344 DNE393344 DDI393344 CTM393344 CJQ393344 BZU393344 BPY393344 BGC393344 AWG393344 AMK393344 ACO393344 SS393344 IW393344 A393274 WVI327808 WLM327808 WBQ327808 VRU327808 VHY327808 UYC327808 UOG327808 UEK327808 TUO327808 TKS327808 TAW327808 SRA327808 SHE327808 RXI327808 RNM327808 RDQ327808 QTU327808 QJY327808 QAC327808 PQG327808 PGK327808 OWO327808 OMS327808 OCW327808 NTA327808 NJE327808 MZI327808 MPM327808 MFQ327808 LVU327808 LLY327808 LCC327808 KSG327808 KIK327808 JYO327808 JOS327808 JEW327808 IVA327808 ILE327808 IBI327808 HRM327808 HHQ327808 GXU327808 GNY327808 GEC327808 FUG327808 FKK327808 FAO327808 EQS327808 EGW327808 DXA327808 DNE327808 DDI327808 CTM327808 CJQ327808 BZU327808 BPY327808 BGC327808 AWG327808 AMK327808 ACO327808 SS327808 IW327808 A327738 WVI262272 WLM262272 WBQ262272 VRU262272 VHY262272 UYC262272 UOG262272 UEK262272 TUO262272 TKS262272 TAW262272 SRA262272 SHE262272 RXI262272 RNM262272 RDQ262272 QTU262272 QJY262272 QAC262272 PQG262272 PGK262272 OWO262272 OMS262272 OCW262272 NTA262272 NJE262272 MZI262272 MPM262272 MFQ262272 LVU262272 LLY262272 LCC262272 KSG262272 KIK262272 JYO262272 JOS262272 JEW262272 IVA262272 ILE262272 IBI262272 HRM262272 HHQ262272 GXU262272 GNY262272 GEC262272 FUG262272 FKK262272 FAO262272 EQS262272 EGW262272 DXA262272 DNE262272 DDI262272 CTM262272 CJQ262272 BZU262272 BPY262272 BGC262272 AWG262272 AMK262272 ACO262272 SS262272 IW262272 A262202 WVI196736 WLM196736 WBQ196736 VRU196736 VHY196736 UYC196736 UOG196736 UEK196736 TUO196736 TKS196736 TAW196736 SRA196736 SHE196736 RXI196736 RNM196736 RDQ196736 QTU196736 QJY196736 QAC196736 PQG196736 PGK196736 OWO196736 OMS196736 OCW196736 NTA196736 NJE196736 MZI196736 MPM196736 MFQ196736 LVU196736 LLY196736 LCC196736 KSG196736 KIK196736 JYO196736 JOS196736 JEW196736 IVA196736 ILE196736 IBI196736 HRM196736 HHQ196736 GXU196736 GNY196736 GEC196736 FUG196736 FKK196736 FAO196736 EQS196736 EGW196736 DXA196736 DNE196736 DDI196736 CTM196736 CJQ196736 BZU196736 BPY196736 BGC196736 AWG196736 AMK196736 ACO196736 SS196736 IW196736 A196666 WVI131200 WLM131200 WBQ131200 VRU131200 VHY131200 UYC131200 UOG131200 UEK131200 TUO131200 TKS131200 TAW131200 SRA131200 SHE131200 RXI131200 RNM131200 RDQ131200 QTU131200 QJY131200 QAC131200 PQG131200 PGK131200 OWO131200 OMS131200 OCW131200 NTA131200 NJE131200 MZI131200 MPM131200 MFQ131200 LVU131200 LLY131200 LCC131200 KSG131200 KIK131200 JYO131200 JOS131200 JEW131200 IVA131200 ILE131200 IBI131200 HRM131200 HHQ131200 GXU131200 GNY131200 GEC131200 FUG131200 FKK131200 FAO131200 EQS131200 EGW131200 DXA131200 DNE131200 DDI131200 CTM131200 CJQ131200 BZU131200 BPY131200 BGC131200 AWG131200 AMK131200 ACO131200 SS131200 IW131200 A131130 WVI65664 WLM65664 WBQ65664 VRU65664 VHY65664 UYC65664 UOG65664 UEK65664 TUO65664 TKS65664 TAW65664 SRA65664 SHE65664 RXI65664 RNM65664 RDQ65664 QTU65664 QJY65664 QAC65664 PQG65664 PGK65664 OWO65664 OMS65664 OCW65664 NTA65664 NJE65664 MZI65664 MPM65664 MFQ65664 LVU65664 LLY65664 LCC65664 KSG65664 KIK65664 JYO65664 JOS65664 JEW65664 IVA65664 ILE65664 IBI65664 HRM65664 HHQ65664 GXU65664 GNY65664 GEC65664 FUG65664 FKK65664 FAO65664 EQS65664 EGW65664 DXA65664 DNE65664 DDI65664 CTM65664 CJQ65664 BZU65664 BPY65664 BGC65664 AWG65664 AMK65664 ACO65664 SS65664 IW65664 A65594 WVI129 WLM129 WBQ129 VRU129 VHY129 UYC129 UOG129 UEK129 TUO129 TKS129 TAW129 SRA129 SHE129 RXI129 RNM129 RDQ129 QTU129 QJY129 QAC129 PQG129 PGK129 OWO129 OMS129 OCW129 NTA129 NJE129 MZI129 MPM129 MFQ129 LVU129 LLY129 LCC129 KSG129 KIK129 JYO129 JOS129 JEW129 IVA129 ILE129 IBI129 HRM129 HHQ129 GXU129 GNY129 GEC129 FUG129 FKK129 FAO129 EQS129 EGW129 DXA129 DNE129 DDI129 CTM129 CJQ129 BZU129 BPY129 BGC129 AWG129 AMK129 ACO129 SS129 IW129" xr:uid="{9B9A17BD-22F8-4A9F-B7AF-EE0435E2D787}">
      <formula1>$A$140:$A$142</formula1>
    </dataValidation>
    <dataValidation type="list" allowBlank="1" showInputMessage="1" showErrorMessage="1" sqref="IX26 WVJ983070 WLN983070 WBR983070 VRV983070 VHZ983070 UYD983070 UOH983070 UEL983070 TUP983070 TKT983070 TAX983070 SRB983070 SHF983070 RXJ983070 RNN983070 RDR983070 QTV983070 QJZ983070 QAD983070 PQH983070 PGL983070 OWP983070 OMT983070 OCX983070 NTB983070 NJF983070 MZJ983070 MPN983070 MFR983070 LVV983070 LLZ983070 LCD983070 KSH983070 KIL983070 JYP983070 JOT983070 JEX983070 IVB983070 ILF983070 IBJ983070 HRN983070 HHR983070 GXV983070 GNZ983070 GED983070 FUH983070 FKL983070 FAP983070 EQT983070 EGX983070 DXB983070 DNF983070 DDJ983070 CTN983070 CJR983070 BZV983070 BPZ983070 BGD983070 AWH983070 AML983070 ACP983070 ST983070 IX983070 B983000 WVJ917534 WLN917534 WBR917534 VRV917534 VHZ917534 UYD917534 UOH917534 UEL917534 TUP917534 TKT917534 TAX917534 SRB917534 SHF917534 RXJ917534 RNN917534 RDR917534 QTV917534 QJZ917534 QAD917534 PQH917534 PGL917534 OWP917534 OMT917534 OCX917534 NTB917534 NJF917534 MZJ917534 MPN917534 MFR917534 LVV917534 LLZ917534 LCD917534 KSH917534 KIL917534 JYP917534 JOT917534 JEX917534 IVB917534 ILF917534 IBJ917534 HRN917534 HHR917534 GXV917534 GNZ917534 GED917534 FUH917534 FKL917534 FAP917534 EQT917534 EGX917534 DXB917534 DNF917534 DDJ917534 CTN917534 CJR917534 BZV917534 BPZ917534 BGD917534 AWH917534 AML917534 ACP917534 ST917534 IX917534 B917464 WVJ851998 WLN851998 WBR851998 VRV851998 VHZ851998 UYD851998 UOH851998 UEL851998 TUP851998 TKT851998 TAX851998 SRB851998 SHF851998 RXJ851998 RNN851998 RDR851998 QTV851998 QJZ851998 QAD851998 PQH851998 PGL851998 OWP851998 OMT851998 OCX851998 NTB851998 NJF851998 MZJ851998 MPN851998 MFR851998 LVV851998 LLZ851998 LCD851998 KSH851998 KIL851998 JYP851998 JOT851998 JEX851998 IVB851998 ILF851998 IBJ851998 HRN851998 HHR851998 GXV851998 GNZ851998 GED851998 FUH851998 FKL851998 FAP851998 EQT851998 EGX851998 DXB851998 DNF851998 DDJ851998 CTN851998 CJR851998 BZV851998 BPZ851998 BGD851998 AWH851998 AML851998 ACP851998 ST851998 IX851998 B851928 WVJ786462 WLN786462 WBR786462 VRV786462 VHZ786462 UYD786462 UOH786462 UEL786462 TUP786462 TKT786462 TAX786462 SRB786462 SHF786462 RXJ786462 RNN786462 RDR786462 QTV786462 QJZ786462 QAD786462 PQH786462 PGL786462 OWP786462 OMT786462 OCX786462 NTB786462 NJF786462 MZJ786462 MPN786462 MFR786462 LVV786462 LLZ786462 LCD786462 KSH786462 KIL786462 JYP786462 JOT786462 JEX786462 IVB786462 ILF786462 IBJ786462 HRN786462 HHR786462 GXV786462 GNZ786462 GED786462 FUH786462 FKL786462 FAP786462 EQT786462 EGX786462 DXB786462 DNF786462 DDJ786462 CTN786462 CJR786462 BZV786462 BPZ786462 BGD786462 AWH786462 AML786462 ACP786462 ST786462 IX786462 B786392 WVJ720926 WLN720926 WBR720926 VRV720926 VHZ720926 UYD720926 UOH720926 UEL720926 TUP720926 TKT720926 TAX720926 SRB720926 SHF720926 RXJ720926 RNN720926 RDR720926 QTV720926 QJZ720926 QAD720926 PQH720926 PGL720926 OWP720926 OMT720926 OCX720926 NTB720926 NJF720926 MZJ720926 MPN720926 MFR720926 LVV720926 LLZ720926 LCD720926 KSH720926 KIL720926 JYP720926 JOT720926 JEX720926 IVB720926 ILF720926 IBJ720926 HRN720926 HHR720926 GXV720926 GNZ720926 GED720926 FUH720926 FKL720926 FAP720926 EQT720926 EGX720926 DXB720926 DNF720926 DDJ720926 CTN720926 CJR720926 BZV720926 BPZ720926 BGD720926 AWH720926 AML720926 ACP720926 ST720926 IX720926 B720856 WVJ655390 WLN655390 WBR655390 VRV655390 VHZ655390 UYD655390 UOH655390 UEL655390 TUP655390 TKT655390 TAX655390 SRB655390 SHF655390 RXJ655390 RNN655390 RDR655390 QTV655390 QJZ655390 QAD655390 PQH655390 PGL655390 OWP655390 OMT655390 OCX655390 NTB655390 NJF655390 MZJ655390 MPN655390 MFR655390 LVV655390 LLZ655390 LCD655390 KSH655390 KIL655390 JYP655390 JOT655390 JEX655390 IVB655390 ILF655390 IBJ655390 HRN655390 HHR655390 GXV655390 GNZ655390 GED655390 FUH655390 FKL655390 FAP655390 EQT655390 EGX655390 DXB655390 DNF655390 DDJ655390 CTN655390 CJR655390 BZV655390 BPZ655390 BGD655390 AWH655390 AML655390 ACP655390 ST655390 IX655390 B655320 WVJ589854 WLN589854 WBR589854 VRV589854 VHZ589854 UYD589854 UOH589854 UEL589854 TUP589854 TKT589854 TAX589854 SRB589854 SHF589854 RXJ589854 RNN589854 RDR589854 QTV589854 QJZ589854 QAD589854 PQH589854 PGL589854 OWP589854 OMT589854 OCX589854 NTB589854 NJF589854 MZJ589854 MPN589854 MFR589854 LVV589854 LLZ589854 LCD589854 KSH589854 KIL589854 JYP589854 JOT589854 JEX589854 IVB589854 ILF589854 IBJ589854 HRN589854 HHR589854 GXV589854 GNZ589854 GED589854 FUH589854 FKL589854 FAP589854 EQT589854 EGX589854 DXB589854 DNF589854 DDJ589854 CTN589854 CJR589854 BZV589854 BPZ589854 BGD589854 AWH589854 AML589854 ACP589854 ST589854 IX589854 B589784 WVJ524318 WLN524318 WBR524318 VRV524318 VHZ524318 UYD524318 UOH524318 UEL524318 TUP524318 TKT524318 TAX524318 SRB524318 SHF524318 RXJ524318 RNN524318 RDR524318 QTV524318 QJZ524318 QAD524318 PQH524318 PGL524318 OWP524318 OMT524318 OCX524318 NTB524318 NJF524318 MZJ524318 MPN524318 MFR524318 LVV524318 LLZ524318 LCD524318 KSH524318 KIL524318 JYP524318 JOT524318 JEX524318 IVB524318 ILF524318 IBJ524318 HRN524318 HHR524318 GXV524318 GNZ524318 GED524318 FUH524318 FKL524318 FAP524318 EQT524318 EGX524318 DXB524318 DNF524318 DDJ524318 CTN524318 CJR524318 BZV524318 BPZ524318 BGD524318 AWH524318 AML524318 ACP524318 ST524318 IX524318 B524248 WVJ458782 WLN458782 WBR458782 VRV458782 VHZ458782 UYD458782 UOH458782 UEL458782 TUP458782 TKT458782 TAX458782 SRB458782 SHF458782 RXJ458782 RNN458782 RDR458782 QTV458782 QJZ458782 QAD458782 PQH458782 PGL458782 OWP458782 OMT458782 OCX458782 NTB458782 NJF458782 MZJ458782 MPN458782 MFR458782 LVV458782 LLZ458782 LCD458782 KSH458782 KIL458782 JYP458782 JOT458782 JEX458782 IVB458782 ILF458782 IBJ458782 HRN458782 HHR458782 GXV458782 GNZ458782 GED458782 FUH458782 FKL458782 FAP458782 EQT458782 EGX458782 DXB458782 DNF458782 DDJ458782 CTN458782 CJR458782 BZV458782 BPZ458782 BGD458782 AWH458782 AML458782 ACP458782 ST458782 IX458782 B458712 WVJ393246 WLN393246 WBR393246 VRV393246 VHZ393246 UYD393246 UOH393246 UEL393246 TUP393246 TKT393246 TAX393246 SRB393246 SHF393246 RXJ393246 RNN393246 RDR393246 QTV393246 QJZ393246 QAD393246 PQH393246 PGL393246 OWP393246 OMT393246 OCX393246 NTB393246 NJF393246 MZJ393246 MPN393246 MFR393246 LVV393246 LLZ393246 LCD393246 KSH393246 KIL393246 JYP393246 JOT393246 JEX393246 IVB393246 ILF393246 IBJ393246 HRN393246 HHR393246 GXV393246 GNZ393246 GED393246 FUH393246 FKL393246 FAP393246 EQT393246 EGX393246 DXB393246 DNF393246 DDJ393246 CTN393246 CJR393246 BZV393246 BPZ393246 BGD393246 AWH393246 AML393246 ACP393246 ST393246 IX393246 B393176 WVJ327710 WLN327710 WBR327710 VRV327710 VHZ327710 UYD327710 UOH327710 UEL327710 TUP327710 TKT327710 TAX327710 SRB327710 SHF327710 RXJ327710 RNN327710 RDR327710 QTV327710 QJZ327710 QAD327710 PQH327710 PGL327710 OWP327710 OMT327710 OCX327710 NTB327710 NJF327710 MZJ327710 MPN327710 MFR327710 LVV327710 LLZ327710 LCD327710 KSH327710 KIL327710 JYP327710 JOT327710 JEX327710 IVB327710 ILF327710 IBJ327710 HRN327710 HHR327710 GXV327710 GNZ327710 GED327710 FUH327710 FKL327710 FAP327710 EQT327710 EGX327710 DXB327710 DNF327710 DDJ327710 CTN327710 CJR327710 BZV327710 BPZ327710 BGD327710 AWH327710 AML327710 ACP327710 ST327710 IX327710 B327640 WVJ262174 WLN262174 WBR262174 VRV262174 VHZ262174 UYD262174 UOH262174 UEL262174 TUP262174 TKT262174 TAX262174 SRB262174 SHF262174 RXJ262174 RNN262174 RDR262174 QTV262174 QJZ262174 QAD262174 PQH262174 PGL262174 OWP262174 OMT262174 OCX262174 NTB262174 NJF262174 MZJ262174 MPN262174 MFR262174 LVV262174 LLZ262174 LCD262174 KSH262174 KIL262174 JYP262174 JOT262174 JEX262174 IVB262174 ILF262174 IBJ262174 HRN262174 HHR262174 GXV262174 GNZ262174 GED262174 FUH262174 FKL262174 FAP262174 EQT262174 EGX262174 DXB262174 DNF262174 DDJ262174 CTN262174 CJR262174 BZV262174 BPZ262174 BGD262174 AWH262174 AML262174 ACP262174 ST262174 IX262174 B262104 WVJ196638 WLN196638 WBR196638 VRV196638 VHZ196638 UYD196638 UOH196638 UEL196638 TUP196638 TKT196638 TAX196638 SRB196638 SHF196638 RXJ196638 RNN196638 RDR196638 QTV196638 QJZ196638 QAD196638 PQH196638 PGL196638 OWP196638 OMT196638 OCX196638 NTB196638 NJF196638 MZJ196638 MPN196638 MFR196638 LVV196638 LLZ196638 LCD196638 KSH196638 KIL196638 JYP196638 JOT196638 JEX196638 IVB196638 ILF196638 IBJ196638 HRN196638 HHR196638 GXV196638 GNZ196638 GED196638 FUH196638 FKL196638 FAP196638 EQT196638 EGX196638 DXB196638 DNF196638 DDJ196638 CTN196638 CJR196638 BZV196638 BPZ196638 BGD196638 AWH196638 AML196638 ACP196638 ST196638 IX196638 B196568 WVJ131102 WLN131102 WBR131102 VRV131102 VHZ131102 UYD131102 UOH131102 UEL131102 TUP131102 TKT131102 TAX131102 SRB131102 SHF131102 RXJ131102 RNN131102 RDR131102 QTV131102 QJZ131102 QAD131102 PQH131102 PGL131102 OWP131102 OMT131102 OCX131102 NTB131102 NJF131102 MZJ131102 MPN131102 MFR131102 LVV131102 LLZ131102 LCD131102 KSH131102 KIL131102 JYP131102 JOT131102 JEX131102 IVB131102 ILF131102 IBJ131102 HRN131102 HHR131102 GXV131102 GNZ131102 GED131102 FUH131102 FKL131102 FAP131102 EQT131102 EGX131102 DXB131102 DNF131102 DDJ131102 CTN131102 CJR131102 BZV131102 BPZ131102 BGD131102 AWH131102 AML131102 ACP131102 ST131102 IX131102 B131032 WVJ65566 WLN65566 WBR65566 VRV65566 VHZ65566 UYD65566 UOH65566 UEL65566 TUP65566 TKT65566 TAX65566 SRB65566 SHF65566 RXJ65566 RNN65566 RDR65566 QTV65566 QJZ65566 QAD65566 PQH65566 PGL65566 OWP65566 OMT65566 OCX65566 NTB65566 NJF65566 MZJ65566 MPN65566 MFR65566 LVV65566 LLZ65566 LCD65566 KSH65566 KIL65566 JYP65566 JOT65566 JEX65566 IVB65566 ILF65566 IBJ65566 HRN65566 HHR65566 GXV65566 GNZ65566 GED65566 FUH65566 FKL65566 FAP65566 EQT65566 EGX65566 DXB65566 DNF65566 DDJ65566 CTN65566 CJR65566 BZV65566 BPZ65566 BGD65566 AWH65566 AML65566 ACP65566 ST65566 IX65566 B65496 WVJ26 WLN26 WBR26 VRV26 VHZ26 UYD26 UOH26 UEL26 TUP26 TKT26 TAX26 SRB26 SHF26 RXJ26 RNN26 RDR26 QTV26 QJZ26 QAD26 PQH26 PGL26 OWP26 OMT26 OCX26 NTB26 NJF26 MZJ26 MPN26 MFR26 LVV26 LLZ26 LCD26 KSH26 KIL26 JYP26 JOT26 JEX26 IVB26 ILF26 IBJ26 HRN26 HHR26 GXV26 GNZ26 GED26 FUH26 FKL26 FAP26 EQT26 EGX26 DXB26 DNF26 DDJ26 CTN26 CJR26 BZV26 BPZ26 BGD26 AWH26 AML26 ACP26 ST26" xr:uid="{3E54BCD5-E1CF-4ED8-89AA-951F7ADE856D}">
      <formula1>$T$2:$T$70</formula1>
    </dataValidation>
    <dataValidation type="list" allowBlank="1" showInputMessage="1" showErrorMessage="1" sqref="B39 WVJ983089 WLN983089 WBR983089 VRV983089 VHZ983089 UYD983089 UOH983089 UEL983089 TUP983089 TKT983089 TAX983089 SRB983089 SHF983089 RXJ983089 RNN983089 RDR983089 QTV983089 QJZ983089 QAD983089 PQH983089 PGL983089 OWP983089 OMT983089 OCX983089 NTB983089 NJF983089 MZJ983089 MPN983089 MFR983089 LVV983089 LLZ983089 LCD983089 KSH983089 KIL983089 JYP983089 JOT983089 JEX983089 IVB983089 ILF983089 IBJ983089 HRN983089 HHR983089 GXV983089 GNZ983089 GED983089 FUH983089 FKL983089 FAP983089 EQT983089 EGX983089 DXB983089 DNF983089 DDJ983089 CTN983089 CJR983089 BZV983089 BPZ983089 BGD983089 AWH983089 AML983089 ACP983089 ST983089 IX983089 B983019 WVJ917553 WLN917553 WBR917553 VRV917553 VHZ917553 UYD917553 UOH917553 UEL917553 TUP917553 TKT917553 TAX917553 SRB917553 SHF917553 RXJ917553 RNN917553 RDR917553 QTV917553 QJZ917553 QAD917553 PQH917553 PGL917553 OWP917553 OMT917553 OCX917553 NTB917553 NJF917553 MZJ917553 MPN917553 MFR917553 LVV917553 LLZ917553 LCD917553 KSH917553 KIL917553 JYP917553 JOT917553 JEX917553 IVB917553 ILF917553 IBJ917553 HRN917553 HHR917553 GXV917553 GNZ917553 GED917553 FUH917553 FKL917553 FAP917553 EQT917553 EGX917553 DXB917553 DNF917553 DDJ917553 CTN917553 CJR917553 BZV917553 BPZ917553 BGD917553 AWH917553 AML917553 ACP917553 ST917553 IX917553 B917483 WVJ852017 WLN852017 WBR852017 VRV852017 VHZ852017 UYD852017 UOH852017 UEL852017 TUP852017 TKT852017 TAX852017 SRB852017 SHF852017 RXJ852017 RNN852017 RDR852017 QTV852017 QJZ852017 QAD852017 PQH852017 PGL852017 OWP852017 OMT852017 OCX852017 NTB852017 NJF852017 MZJ852017 MPN852017 MFR852017 LVV852017 LLZ852017 LCD852017 KSH852017 KIL852017 JYP852017 JOT852017 JEX852017 IVB852017 ILF852017 IBJ852017 HRN852017 HHR852017 GXV852017 GNZ852017 GED852017 FUH852017 FKL852017 FAP852017 EQT852017 EGX852017 DXB852017 DNF852017 DDJ852017 CTN852017 CJR852017 BZV852017 BPZ852017 BGD852017 AWH852017 AML852017 ACP852017 ST852017 IX852017 B851947 WVJ786481 WLN786481 WBR786481 VRV786481 VHZ786481 UYD786481 UOH786481 UEL786481 TUP786481 TKT786481 TAX786481 SRB786481 SHF786481 RXJ786481 RNN786481 RDR786481 QTV786481 QJZ786481 QAD786481 PQH786481 PGL786481 OWP786481 OMT786481 OCX786481 NTB786481 NJF786481 MZJ786481 MPN786481 MFR786481 LVV786481 LLZ786481 LCD786481 KSH786481 KIL786481 JYP786481 JOT786481 JEX786481 IVB786481 ILF786481 IBJ786481 HRN786481 HHR786481 GXV786481 GNZ786481 GED786481 FUH786481 FKL786481 FAP786481 EQT786481 EGX786481 DXB786481 DNF786481 DDJ786481 CTN786481 CJR786481 BZV786481 BPZ786481 BGD786481 AWH786481 AML786481 ACP786481 ST786481 IX786481 B786411 WVJ720945 WLN720945 WBR720945 VRV720945 VHZ720945 UYD720945 UOH720945 UEL720945 TUP720945 TKT720945 TAX720945 SRB720945 SHF720945 RXJ720945 RNN720945 RDR720945 QTV720945 QJZ720945 QAD720945 PQH720945 PGL720945 OWP720945 OMT720945 OCX720945 NTB720945 NJF720945 MZJ720945 MPN720945 MFR720945 LVV720945 LLZ720945 LCD720945 KSH720945 KIL720945 JYP720945 JOT720945 JEX720945 IVB720945 ILF720945 IBJ720945 HRN720945 HHR720945 GXV720945 GNZ720945 GED720945 FUH720945 FKL720945 FAP720945 EQT720945 EGX720945 DXB720945 DNF720945 DDJ720945 CTN720945 CJR720945 BZV720945 BPZ720945 BGD720945 AWH720945 AML720945 ACP720945 ST720945 IX720945 B720875 WVJ655409 WLN655409 WBR655409 VRV655409 VHZ655409 UYD655409 UOH655409 UEL655409 TUP655409 TKT655409 TAX655409 SRB655409 SHF655409 RXJ655409 RNN655409 RDR655409 QTV655409 QJZ655409 QAD655409 PQH655409 PGL655409 OWP655409 OMT655409 OCX655409 NTB655409 NJF655409 MZJ655409 MPN655409 MFR655409 LVV655409 LLZ655409 LCD655409 KSH655409 KIL655409 JYP655409 JOT655409 JEX655409 IVB655409 ILF655409 IBJ655409 HRN655409 HHR655409 GXV655409 GNZ655409 GED655409 FUH655409 FKL655409 FAP655409 EQT655409 EGX655409 DXB655409 DNF655409 DDJ655409 CTN655409 CJR655409 BZV655409 BPZ655409 BGD655409 AWH655409 AML655409 ACP655409 ST655409 IX655409 B655339 WVJ589873 WLN589873 WBR589873 VRV589873 VHZ589873 UYD589873 UOH589873 UEL589873 TUP589873 TKT589873 TAX589873 SRB589873 SHF589873 RXJ589873 RNN589873 RDR589873 QTV589873 QJZ589873 QAD589873 PQH589873 PGL589873 OWP589873 OMT589873 OCX589873 NTB589873 NJF589873 MZJ589873 MPN589873 MFR589873 LVV589873 LLZ589873 LCD589873 KSH589873 KIL589873 JYP589873 JOT589873 JEX589873 IVB589873 ILF589873 IBJ589873 HRN589873 HHR589873 GXV589873 GNZ589873 GED589873 FUH589873 FKL589873 FAP589873 EQT589873 EGX589873 DXB589873 DNF589873 DDJ589873 CTN589873 CJR589873 BZV589873 BPZ589873 BGD589873 AWH589873 AML589873 ACP589873 ST589873 IX589873 B589803 WVJ524337 WLN524337 WBR524337 VRV524337 VHZ524337 UYD524337 UOH524337 UEL524337 TUP524337 TKT524337 TAX524337 SRB524337 SHF524337 RXJ524337 RNN524337 RDR524337 QTV524337 QJZ524337 QAD524337 PQH524337 PGL524337 OWP524337 OMT524337 OCX524337 NTB524337 NJF524337 MZJ524337 MPN524337 MFR524337 LVV524337 LLZ524337 LCD524337 KSH524337 KIL524337 JYP524337 JOT524337 JEX524337 IVB524337 ILF524337 IBJ524337 HRN524337 HHR524337 GXV524337 GNZ524337 GED524337 FUH524337 FKL524337 FAP524337 EQT524337 EGX524337 DXB524337 DNF524337 DDJ524337 CTN524337 CJR524337 BZV524337 BPZ524337 BGD524337 AWH524337 AML524337 ACP524337 ST524337 IX524337 B524267 WVJ458801 WLN458801 WBR458801 VRV458801 VHZ458801 UYD458801 UOH458801 UEL458801 TUP458801 TKT458801 TAX458801 SRB458801 SHF458801 RXJ458801 RNN458801 RDR458801 QTV458801 QJZ458801 QAD458801 PQH458801 PGL458801 OWP458801 OMT458801 OCX458801 NTB458801 NJF458801 MZJ458801 MPN458801 MFR458801 LVV458801 LLZ458801 LCD458801 KSH458801 KIL458801 JYP458801 JOT458801 JEX458801 IVB458801 ILF458801 IBJ458801 HRN458801 HHR458801 GXV458801 GNZ458801 GED458801 FUH458801 FKL458801 FAP458801 EQT458801 EGX458801 DXB458801 DNF458801 DDJ458801 CTN458801 CJR458801 BZV458801 BPZ458801 BGD458801 AWH458801 AML458801 ACP458801 ST458801 IX458801 B458731 WVJ393265 WLN393265 WBR393265 VRV393265 VHZ393265 UYD393265 UOH393265 UEL393265 TUP393265 TKT393265 TAX393265 SRB393265 SHF393265 RXJ393265 RNN393265 RDR393265 QTV393265 QJZ393265 QAD393265 PQH393265 PGL393265 OWP393265 OMT393265 OCX393265 NTB393265 NJF393265 MZJ393265 MPN393265 MFR393265 LVV393265 LLZ393265 LCD393265 KSH393265 KIL393265 JYP393265 JOT393265 JEX393265 IVB393265 ILF393265 IBJ393265 HRN393265 HHR393265 GXV393265 GNZ393265 GED393265 FUH393265 FKL393265 FAP393265 EQT393265 EGX393265 DXB393265 DNF393265 DDJ393265 CTN393265 CJR393265 BZV393265 BPZ393265 BGD393265 AWH393265 AML393265 ACP393265 ST393265 IX393265 B393195 WVJ327729 WLN327729 WBR327729 VRV327729 VHZ327729 UYD327729 UOH327729 UEL327729 TUP327729 TKT327729 TAX327729 SRB327729 SHF327729 RXJ327729 RNN327729 RDR327729 QTV327729 QJZ327729 QAD327729 PQH327729 PGL327729 OWP327729 OMT327729 OCX327729 NTB327729 NJF327729 MZJ327729 MPN327729 MFR327729 LVV327729 LLZ327729 LCD327729 KSH327729 KIL327729 JYP327729 JOT327729 JEX327729 IVB327729 ILF327729 IBJ327729 HRN327729 HHR327729 GXV327729 GNZ327729 GED327729 FUH327729 FKL327729 FAP327729 EQT327729 EGX327729 DXB327729 DNF327729 DDJ327729 CTN327729 CJR327729 BZV327729 BPZ327729 BGD327729 AWH327729 AML327729 ACP327729 ST327729 IX327729 B327659 WVJ262193 WLN262193 WBR262193 VRV262193 VHZ262193 UYD262193 UOH262193 UEL262193 TUP262193 TKT262193 TAX262193 SRB262193 SHF262193 RXJ262193 RNN262193 RDR262193 QTV262193 QJZ262193 QAD262193 PQH262193 PGL262193 OWP262193 OMT262193 OCX262193 NTB262193 NJF262193 MZJ262193 MPN262193 MFR262193 LVV262193 LLZ262193 LCD262193 KSH262193 KIL262193 JYP262193 JOT262193 JEX262193 IVB262193 ILF262193 IBJ262193 HRN262193 HHR262193 GXV262193 GNZ262193 GED262193 FUH262193 FKL262193 FAP262193 EQT262193 EGX262193 DXB262193 DNF262193 DDJ262193 CTN262193 CJR262193 BZV262193 BPZ262193 BGD262193 AWH262193 AML262193 ACP262193 ST262193 IX262193 B262123 WVJ196657 WLN196657 WBR196657 VRV196657 VHZ196657 UYD196657 UOH196657 UEL196657 TUP196657 TKT196657 TAX196657 SRB196657 SHF196657 RXJ196657 RNN196657 RDR196657 QTV196657 QJZ196657 QAD196657 PQH196657 PGL196657 OWP196657 OMT196657 OCX196657 NTB196657 NJF196657 MZJ196657 MPN196657 MFR196657 LVV196657 LLZ196657 LCD196657 KSH196657 KIL196657 JYP196657 JOT196657 JEX196657 IVB196657 ILF196657 IBJ196657 HRN196657 HHR196657 GXV196657 GNZ196657 GED196657 FUH196657 FKL196657 FAP196657 EQT196657 EGX196657 DXB196657 DNF196657 DDJ196657 CTN196657 CJR196657 BZV196657 BPZ196657 BGD196657 AWH196657 AML196657 ACP196657 ST196657 IX196657 B196587 WVJ131121 WLN131121 WBR131121 VRV131121 VHZ131121 UYD131121 UOH131121 UEL131121 TUP131121 TKT131121 TAX131121 SRB131121 SHF131121 RXJ131121 RNN131121 RDR131121 QTV131121 QJZ131121 QAD131121 PQH131121 PGL131121 OWP131121 OMT131121 OCX131121 NTB131121 NJF131121 MZJ131121 MPN131121 MFR131121 LVV131121 LLZ131121 LCD131121 KSH131121 KIL131121 JYP131121 JOT131121 JEX131121 IVB131121 ILF131121 IBJ131121 HRN131121 HHR131121 GXV131121 GNZ131121 GED131121 FUH131121 FKL131121 FAP131121 EQT131121 EGX131121 DXB131121 DNF131121 DDJ131121 CTN131121 CJR131121 BZV131121 BPZ131121 BGD131121 AWH131121 AML131121 ACP131121 ST131121 IX131121 B131051 WVJ65585 WLN65585 WBR65585 VRV65585 VHZ65585 UYD65585 UOH65585 UEL65585 TUP65585 TKT65585 TAX65585 SRB65585 SHF65585 RXJ65585 RNN65585 RDR65585 QTV65585 QJZ65585 QAD65585 PQH65585 PGL65585 OWP65585 OMT65585 OCX65585 NTB65585 NJF65585 MZJ65585 MPN65585 MFR65585 LVV65585 LLZ65585 LCD65585 KSH65585 KIL65585 JYP65585 JOT65585 JEX65585 IVB65585 ILF65585 IBJ65585 HRN65585 HHR65585 GXV65585 GNZ65585 GED65585 FUH65585 FKL65585 FAP65585 EQT65585 EGX65585 DXB65585 DNF65585 DDJ65585 CTN65585 CJR65585 BZV65585 BPZ65585 BGD65585 AWH65585 AML65585 ACP65585 ST65585 IX65585 B65515 WVJ45 WLN45 WBR45 VRV45 VHZ45 UYD45 UOH45 UEL45 TUP45 TKT45 TAX45 SRB45 SHF45 RXJ45 RNN45 RDR45 QTV45 QJZ45 QAD45 PQH45 PGL45 OWP45 OMT45 OCX45 NTB45 NJF45 MZJ45 MPN45 MFR45 LVV45 LLZ45 LCD45 KSH45 KIL45 JYP45 JOT45 JEX45 IVB45 ILF45 IBJ45 HRN45 HHR45 GXV45 GNZ45 GED45 FUH45 FKL45 FAP45 EQT45 EGX45 DXB45 DNF45 DDJ45 CTN45 CJR45 BZV45 BPZ45 BGD45 AWH45 AML45 ACP45 ST45 IX45 B45 WVJ983083 WLN983083 WBR983083 VRV983083 VHZ983083 UYD983083 UOH983083 UEL983083 TUP983083 TKT983083 TAX983083 SRB983083 SHF983083 RXJ983083 RNN983083 RDR983083 QTV983083 QJZ983083 QAD983083 PQH983083 PGL983083 OWP983083 OMT983083 OCX983083 NTB983083 NJF983083 MZJ983083 MPN983083 MFR983083 LVV983083 LLZ983083 LCD983083 KSH983083 KIL983083 JYP983083 JOT983083 JEX983083 IVB983083 ILF983083 IBJ983083 HRN983083 HHR983083 GXV983083 GNZ983083 GED983083 FUH983083 FKL983083 FAP983083 EQT983083 EGX983083 DXB983083 DNF983083 DDJ983083 CTN983083 CJR983083 BZV983083 BPZ983083 BGD983083 AWH983083 AML983083 ACP983083 ST983083 IX983083 B983013 WVJ917547 WLN917547 WBR917547 VRV917547 VHZ917547 UYD917547 UOH917547 UEL917547 TUP917547 TKT917547 TAX917547 SRB917547 SHF917547 RXJ917547 RNN917547 RDR917547 QTV917547 QJZ917547 QAD917547 PQH917547 PGL917547 OWP917547 OMT917547 OCX917547 NTB917547 NJF917547 MZJ917547 MPN917547 MFR917547 LVV917547 LLZ917547 LCD917547 KSH917547 KIL917547 JYP917547 JOT917547 JEX917547 IVB917547 ILF917547 IBJ917547 HRN917547 HHR917547 GXV917547 GNZ917547 GED917547 FUH917547 FKL917547 FAP917547 EQT917547 EGX917547 DXB917547 DNF917547 DDJ917547 CTN917547 CJR917547 BZV917547 BPZ917547 BGD917547 AWH917547 AML917547 ACP917547 ST917547 IX917547 B917477 WVJ852011 WLN852011 WBR852011 VRV852011 VHZ852011 UYD852011 UOH852011 UEL852011 TUP852011 TKT852011 TAX852011 SRB852011 SHF852011 RXJ852011 RNN852011 RDR852011 QTV852011 QJZ852011 QAD852011 PQH852011 PGL852011 OWP852011 OMT852011 OCX852011 NTB852011 NJF852011 MZJ852011 MPN852011 MFR852011 LVV852011 LLZ852011 LCD852011 KSH852011 KIL852011 JYP852011 JOT852011 JEX852011 IVB852011 ILF852011 IBJ852011 HRN852011 HHR852011 GXV852011 GNZ852011 GED852011 FUH852011 FKL852011 FAP852011 EQT852011 EGX852011 DXB852011 DNF852011 DDJ852011 CTN852011 CJR852011 BZV852011 BPZ852011 BGD852011 AWH852011 AML852011 ACP852011 ST852011 IX852011 B851941 WVJ786475 WLN786475 WBR786475 VRV786475 VHZ786475 UYD786475 UOH786475 UEL786475 TUP786475 TKT786475 TAX786475 SRB786475 SHF786475 RXJ786475 RNN786475 RDR786475 QTV786475 QJZ786475 QAD786475 PQH786475 PGL786475 OWP786475 OMT786475 OCX786475 NTB786475 NJF786475 MZJ786475 MPN786475 MFR786475 LVV786475 LLZ786475 LCD786475 KSH786475 KIL786475 JYP786475 JOT786475 JEX786475 IVB786475 ILF786475 IBJ786475 HRN786475 HHR786475 GXV786475 GNZ786475 GED786475 FUH786475 FKL786475 FAP786475 EQT786475 EGX786475 DXB786475 DNF786475 DDJ786475 CTN786475 CJR786475 BZV786475 BPZ786475 BGD786475 AWH786475 AML786475 ACP786475 ST786475 IX786475 B786405 WVJ720939 WLN720939 WBR720939 VRV720939 VHZ720939 UYD720939 UOH720939 UEL720939 TUP720939 TKT720939 TAX720939 SRB720939 SHF720939 RXJ720939 RNN720939 RDR720939 QTV720939 QJZ720939 QAD720939 PQH720939 PGL720939 OWP720939 OMT720939 OCX720939 NTB720939 NJF720939 MZJ720939 MPN720939 MFR720939 LVV720939 LLZ720939 LCD720939 KSH720939 KIL720939 JYP720939 JOT720939 JEX720939 IVB720939 ILF720939 IBJ720939 HRN720939 HHR720939 GXV720939 GNZ720939 GED720939 FUH720939 FKL720939 FAP720939 EQT720939 EGX720939 DXB720939 DNF720939 DDJ720939 CTN720939 CJR720939 BZV720939 BPZ720939 BGD720939 AWH720939 AML720939 ACP720939 ST720939 IX720939 B720869 WVJ655403 WLN655403 WBR655403 VRV655403 VHZ655403 UYD655403 UOH655403 UEL655403 TUP655403 TKT655403 TAX655403 SRB655403 SHF655403 RXJ655403 RNN655403 RDR655403 QTV655403 QJZ655403 QAD655403 PQH655403 PGL655403 OWP655403 OMT655403 OCX655403 NTB655403 NJF655403 MZJ655403 MPN655403 MFR655403 LVV655403 LLZ655403 LCD655403 KSH655403 KIL655403 JYP655403 JOT655403 JEX655403 IVB655403 ILF655403 IBJ655403 HRN655403 HHR655403 GXV655403 GNZ655403 GED655403 FUH655403 FKL655403 FAP655403 EQT655403 EGX655403 DXB655403 DNF655403 DDJ655403 CTN655403 CJR655403 BZV655403 BPZ655403 BGD655403 AWH655403 AML655403 ACP655403 ST655403 IX655403 B655333 WVJ589867 WLN589867 WBR589867 VRV589867 VHZ589867 UYD589867 UOH589867 UEL589867 TUP589867 TKT589867 TAX589867 SRB589867 SHF589867 RXJ589867 RNN589867 RDR589867 QTV589867 QJZ589867 QAD589867 PQH589867 PGL589867 OWP589867 OMT589867 OCX589867 NTB589867 NJF589867 MZJ589867 MPN589867 MFR589867 LVV589867 LLZ589867 LCD589867 KSH589867 KIL589867 JYP589867 JOT589867 JEX589867 IVB589867 ILF589867 IBJ589867 HRN589867 HHR589867 GXV589867 GNZ589867 GED589867 FUH589867 FKL589867 FAP589867 EQT589867 EGX589867 DXB589867 DNF589867 DDJ589867 CTN589867 CJR589867 BZV589867 BPZ589867 BGD589867 AWH589867 AML589867 ACP589867 ST589867 IX589867 B589797 WVJ524331 WLN524331 WBR524331 VRV524331 VHZ524331 UYD524331 UOH524331 UEL524331 TUP524331 TKT524331 TAX524331 SRB524331 SHF524331 RXJ524331 RNN524331 RDR524331 QTV524331 QJZ524331 QAD524331 PQH524331 PGL524331 OWP524331 OMT524331 OCX524331 NTB524331 NJF524331 MZJ524331 MPN524331 MFR524331 LVV524331 LLZ524331 LCD524331 KSH524331 KIL524331 JYP524331 JOT524331 JEX524331 IVB524331 ILF524331 IBJ524331 HRN524331 HHR524331 GXV524331 GNZ524331 GED524331 FUH524331 FKL524331 FAP524331 EQT524331 EGX524331 DXB524331 DNF524331 DDJ524331 CTN524331 CJR524331 BZV524331 BPZ524331 BGD524331 AWH524331 AML524331 ACP524331 ST524331 IX524331 B524261 WVJ458795 WLN458795 WBR458795 VRV458795 VHZ458795 UYD458795 UOH458795 UEL458795 TUP458795 TKT458795 TAX458795 SRB458795 SHF458795 RXJ458795 RNN458795 RDR458795 QTV458795 QJZ458795 QAD458795 PQH458795 PGL458795 OWP458795 OMT458795 OCX458795 NTB458795 NJF458795 MZJ458795 MPN458795 MFR458795 LVV458795 LLZ458795 LCD458795 KSH458795 KIL458795 JYP458795 JOT458795 JEX458795 IVB458795 ILF458795 IBJ458795 HRN458795 HHR458795 GXV458795 GNZ458795 GED458795 FUH458795 FKL458795 FAP458795 EQT458795 EGX458795 DXB458795 DNF458795 DDJ458795 CTN458795 CJR458795 BZV458795 BPZ458795 BGD458795 AWH458795 AML458795 ACP458795 ST458795 IX458795 B458725 WVJ393259 WLN393259 WBR393259 VRV393259 VHZ393259 UYD393259 UOH393259 UEL393259 TUP393259 TKT393259 TAX393259 SRB393259 SHF393259 RXJ393259 RNN393259 RDR393259 QTV393259 QJZ393259 QAD393259 PQH393259 PGL393259 OWP393259 OMT393259 OCX393259 NTB393259 NJF393259 MZJ393259 MPN393259 MFR393259 LVV393259 LLZ393259 LCD393259 KSH393259 KIL393259 JYP393259 JOT393259 JEX393259 IVB393259 ILF393259 IBJ393259 HRN393259 HHR393259 GXV393259 GNZ393259 GED393259 FUH393259 FKL393259 FAP393259 EQT393259 EGX393259 DXB393259 DNF393259 DDJ393259 CTN393259 CJR393259 BZV393259 BPZ393259 BGD393259 AWH393259 AML393259 ACP393259 ST393259 IX393259 B393189 WVJ327723 WLN327723 WBR327723 VRV327723 VHZ327723 UYD327723 UOH327723 UEL327723 TUP327723 TKT327723 TAX327723 SRB327723 SHF327723 RXJ327723 RNN327723 RDR327723 QTV327723 QJZ327723 QAD327723 PQH327723 PGL327723 OWP327723 OMT327723 OCX327723 NTB327723 NJF327723 MZJ327723 MPN327723 MFR327723 LVV327723 LLZ327723 LCD327723 KSH327723 KIL327723 JYP327723 JOT327723 JEX327723 IVB327723 ILF327723 IBJ327723 HRN327723 HHR327723 GXV327723 GNZ327723 GED327723 FUH327723 FKL327723 FAP327723 EQT327723 EGX327723 DXB327723 DNF327723 DDJ327723 CTN327723 CJR327723 BZV327723 BPZ327723 BGD327723 AWH327723 AML327723 ACP327723 ST327723 IX327723 B327653 WVJ262187 WLN262187 WBR262187 VRV262187 VHZ262187 UYD262187 UOH262187 UEL262187 TUP262187 TKT262187 TAX262187 SRB262187 SHF262187 RXJ262187 RNN262187 RDR262187 QTV262187 QJZ262187 QAD262187 PQH262187 PGL262187 OWP262187 OMT262187 OCX262187 NTB262187 NJF262187 MZJ262187 MPN262187 MFR262187 LVV262187 LLZ262187 LCD262187 KSH262187 KIL262187 JYP262187 JOT262187 JEX262187 IVB262187 ILF262187 IBJ262187 HRN262187 HHR262187 GXV262187 GNZ262187 GED262187 FUH262187 FKL262187 FAP262187 EQT262187 EGX262187 DXB262187 DNF262187 DDJ262187 CTN262187 CJR262187 BZV262187 BPZ262187 BGD262187 AWH262187 AML262187 ACP262187 ST262187 IX262187 B262117 WVJ196651 WLN196651 WBR196651 VRV196651 VHZ196651 UYD196651 UOH196651 UEL196651 TUP196651 TKT196651 TAX196651 SRB196651 SHF196651 RXJ196651 RNN196651 RDR196651 QTV196651 QJZ196651 QAD196651 PQH196651 PGL196651 OWP196651 OMT196651 OCX196651 NTB196651 NJF196651 MZJ196651 MPN196651 MFR196651 LVV196651 LLZ196651 LCD196651 KSH196651 KIL196651 JYP196651 JOT196651 JEX196651 IVB196651 ILF196651 IBJ196651 HRN196651 HHR196651 GXV196651 GNZ196651 GED196651 FUH196651 FKL196651 FAP196651 EQT196651 EGX196651 DXB196651 DNF196651 DDJ196651 CTN196651 CJR196651 BZV196651 BPZ196651 BGD196651 AWH196651 AML196651 ACP196651 ST196651 IX196651 B196581 WVJ131115 WLN131115 WBR131115 VRV131115 VHZ131115 UYD131115 UOH131115 UEL131115 TUP131115 TKT131115 TAX131115 SRB131115 SHF131115 RXJ131115 RNN131115 RDR131115 QTV131115 QJZ131115 QAD131115 PQH131115 PGL131115 OWP131115 OMT131115 OCX131115 NTB131115 NJF131115 MZJ131115 MPN131115 MFR131115 LVV131115 LLZ131115 LCD131115 KSH131115 KIL131115 JYP131115 JOT131115 JEX131115 IVB131115 ILF131115 IBJ131115 HRN131115 HHR131115 GXV131115 GNZ131115 GED131115 FUH131115 FKL131115 FAP131115 EQT131115 EGX131115 DXB131115 DNF131115 DDJ131115 CTN131115 CJR131115 BZV131115 BPZ131115 BGD131115 AWH131115 AML131115 ACP131115 ST131115 IX131115 B131045 WVJ65579 WLN65579 WBR65579 VRV65579 VHZ65579 UYD65579 UOH65579 UEL65579 TUP65579 TKT65579 TAX65579 SRB65579 SHF65579 RXJ65579 RNN65579 RDR65579 QTV65579 QJZ65579 QAD65579 PQH65579 PGL65579 OWP65579 OMT65579 OCX65579 NTB65579 NJF65579 MZJ65579 MPN65579 MFR65579 LVV65579 LLZ65579 LCD65579 KSH65579 KIL65579 JYP65579 JOT65579 JEX65579 IVB65579 ILF65579 IBJ65579 HRN65579 HHR65579 GXV65579 GNZ65579 GED65579 FUH65579 FKL65579 FAP65579 EQT65579 EGX65579 DXB65579 DNF65579 DDJ65579 CTN65579 CJR65579 BZV65579 BPZ65579 BGD65579 AWH65579 AML65579 ACP65579 ST65579 IX65579 B65509 WVJ39 WLN39 WBR39 VRV39 VHZ39 UYD39 UOH39 UEL39 TUP39 TKT39 TAX39 SRB39 SHF39 RXJ39 RNN39 RDR39 QTV39 QJZ39 QAD39 PQH39 PGL39 OWP39 OMT39 OCX39 NTB39 NJF39 MZJ39 MPN39 MFR39 LVV39 LLZ39 LCD39 KSH39 KIL39 JYP39 JOT39 JEX39 IVB39 ILF39 IBJ39 HRN39 HHR39 GXV39 GNZ39 GED39 FUH39 FKL39 FAP39 EQT39 EGX39 DXB39 DNF39 DDJ39 CTN39 CJR39 BZV39 BPZ39 BGD39 AWH39 AML39 ACP39 ST39 IX39" xr:uid="{6CCB4502-47C3-426B-94DA-8CD0F1851C37}">
      <formula1>$AI$2:$AI$53</formula1>
    </dataValidation>
    <dataValidation type="list" allowBlank="1" showInputMessage="1" showErrorMessage="1" sqref="B7" xr:uid="{71F362E5-7898-4D1E-9C8F-90C522BB0091}">
      <formula1>$K$2:$K$187</formula1>
    </dataValidation>
    <dataValidation type="list" allowBlank="1" showInputMessage="1" showErrorMessage="1" sqref="WVJ983051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477 IX65547 ST65547 ACP65547 AML65547 AWH65547 BGD65547 BPZ65547 BZV65547 CJR65547 CTN65547 DDJ65547 DNF65547 DXB65547 EGX65547 EQT65547 FAP65547 FKL65547 FUH65547 GED65547 GNZ65547 GXV65547 HHR65547 HRN65547 IBJ65547 ILF65547 IVB65547 JEX65547 JOT65547 JYP65547 KIL65547 KSH65547 LCD65547 LLZ65547 LVV65547 MFR65547 MPN65547 MZJ65547 NJF65547 NTB65547 OCX65547 OMT65547 OWP65547 PGL65547 PQH65547 QAD65547 QJZ65547 QTV65547 RDR65547 RNN65547 RXJ65547 SHF65547 SRB65547 TAX65547 TKT65547 TUP65547 UEL65547 UOH65547 UYD65547 VHZ65547 VRV65547 WBR65547 WLN65547 WVJ65547 B131013 IX131083 ST131083 ACP131083 AML131083 AWH131083 BGD131083 BPZ131083 BZV131083 CJR131083 CTN131083 DDJ131083 DNF131083 DXB131083 EGX131083 EQT131083 FAP131083 FKL131083 FUH131083 GED131083 GNZ131083 GXV131083 HHR131083 HRN131083 IBJ131083 ILF131083 IVB131083 JEX131083 JOT131083 JYP131083 KIL131083 KSH131083 LCD131083 LLZ131083 LVV131083 MFR131083 MPN131083 MZJ131083 NJF131083 NTB131083 OCX131083 OMT131083 OWP131083 PGL131083 PQH131083 QAD131083 QJZ131083 QTV131083 RDR131083 RNN131083 RXJ131083 SHF131083 SRB131083 TAX131083 TKT131083 TUP131083 UEL131083 UOH131083 UYD131083 VHZ131083 VRV131083 WBR131083 WLN131083 WVJ131083 B196549 IX196619 ST196619 ACP196619 AML196619 AWH196619 BGD196619 BPZ196619 BZV196619 CJR196619 CTN196619 DDJ196619 DNF196619 DXB196619 EGX196619 EQT196619 FAP196619 FKL196619 FUH196619 GED196619 GNZ196619 GXV196619 HHR196619 HRN196619 IBJ196619 ILF196619 IVB196619 JEX196619 JOT196619 JYP196619 KIL196619 KSH196619 LCD196619 LLZ196619 LVV196619 MFR196619 MPN196619 MZJ196619 NJF196619 NTB196619 OCX196619 OMT196619 OWP196619 PGL196619 PQH196619 QAD196619 QJZ196619 QTV196619 RDR196619 RNN196619 RXJ196619 SHF196619 SRB196619 TAX196619 TKT196619 TUP196619 UEL196619 UOH196619 UYD196619 VHZ196619 VRV196619 WBR196619 WLN196619 WVJ196619 B262085 IX262155 ST262155 ACP262155 AML262155 AWH262155 BGD262155 BPZ262155 BZV262155 CJR262155 CTN262155 DDJ262155 DNF262155 DXB262155 EGX262155 EQT262155 FAP262155 FKL262155 FUH262155 GED262155 GNZ262155 GXV262155 HHR262155 HRN262155 IBJ262155 ILF262155 IVB262155 JEX262155 JOT262155 JYP262155 KIL262155 KSH262155 LCD262155 LLZ262155 LVV262155 MFR262155 MPN262155 MZJ262155 NJF262155 NTB262155 OCX262155 OMT262155 OWP262155 PGL262155 PQH262155 QAD262155 QJZ262155 QTV262155 RDR262155 RNN262155 RXJ262155 SHF262155 SRB262155 TAX262155 TKT262155 TUP262155 UEL262155 UOH262155 UYD262155 VHZ262155 VRV262155 WBR262155 WLN262155 WVJ262155 B327621 IX327691 ST327691 ACP327691 AML327691 AWH327691 BGD327691 BPZ327691 BZV327691 CJR327691 CTN327691 DDJ327691 DNF327691 DXB327691 EGX327691 EQT327691 FAP327691 FKL327691 FUH327691 GED327691 GNZ327691 GXV327691 HHR327691 HRN327691 IBJ327691 ILF327691 IVB327691 JEX327691 JOT327691 JYP327691 KIL327691 KSH327691 LCD327691 LLZ327691 LVV327691 MFR327691 MPN327691 MZJ327691 NJF327691 NTB327691 OCX327691 OMT327691 OWP327691 PGL327691 PQH327691 QAD327691 QJZ327691 QTV327691 RDR327691 RNN327691 RXJ327691 SHF327691 SRB327691 TAX327691 TKT327691 TUP327691 UEL327691 UOH327691 UYD327691 VHZ327691 VRV327691 WBR327691 WLN327691 WVJ327691 B393157 IX393227 ST393227 ACP393227 AML393227 AWH393227 BGD393227 BPZ393227 BZV393227 CJR393227 CTN393227 DDJ393227 DNF393227 DXB393227 EGX393227 EQT393227 FAP393227 FKL393227 FUH393227 GED393227 GNZ393227 GXV393227 HHR393227 HRN393227 IBJ393227 ILF393227 IVB393227 JEX393227 JOT393227 JYP393227 KIL393227 KSH393227 LCD393227 LLZ393227 LVV393227 MFR393227 MPN393227 MZJ393227 NJF393227 NTB393227 OCX393227 OMT393227 OWP393227 PGL393227 PQH393227 QAD393227 QJZ393227 QTV393227 RDR393227 RNN393227 RXJ393227 SHF393227 SRB393227 TAX393227 TKT393227 TUP393227 UEL393227 UOH393227 UYD393227 VHZ393227 VRV393227 WBR393227 WLN393227 WVJ393227 B458693 IX458763 ST458763 ACP458763 AML458763 AWH458763 BGD458763 BPZ458763 BZV458763 CJR458763 CTN458763 DDJ458763 DNF458763 DXB458763 EGX458763 EQT458763 FAP458763 FKL458763 FUH458763 GED458763 GNZ458763 GXV458763 HHR458763 HRN458763 IBJ458763 ILF458763 IVB458763 JEX458763 JOT458763 JYP458763 KIL458763 KSH458763 LCD458763 LLZ458763 LVV458763 MFR458763 MPN458763 MZJ458763 NJF458763 NTB458763 OCX458763 OMT458763 OWP458763 PGL458763 PQH458763 QAD458763 QJZ458763 QTV458763 RDR458763 RNN458763 RXJ458763 SHF458763 SRB458763 TAX458763 TKT458763 TUP458763 UEL458763 UOH458763 UYD458763 VHZ458763 VRV458763 WBR458763 WLN458763 WVJ458763 B524229 IX524299 ST524299 ACP524299 AML524299 AWH524299 BGD524299 BPZ524299 BZV524299 CJR524299 CTN524299 DDJ524299 DNF524299 DXB524299 EGX524299 EQT524299 FAP524299 FKL524299 FUH524299 GED524299 GNZ524299 GXV524299 HHR524299 HRN524299 IBJ524299 ILF524299 IVB524299 JEX524299 JOT524299 JYP524299 KIL524299 KSH524299 LCD524299 LLZ524299 LVV524299 MFR524299 MPN524299 MZJ524299 NJF524299 NTB524299 OCX524299 OMT524299 OWP524299 PGL524299 PQH524299 QAD524299 QJZ524299 QTV524299 RDR524299 RNN524299 RXJ524299 SHF524299 SRB524299 TAX524299 TKT524299 TUP524299 UEL524299 UOH524299 UYD524299 VHZ524299 VRV524299 WBR524299 WLN524299 WVJ524299 B589765 IX589835 ST589835 ACP589835 AML589835 AWH589835 BGD589835 BPZ589835 BZV589835 CJR589835 CTN589835 DDJ589835 DNF589835 DXB589835 EGX589835 EQT589835 FAP589835 FKL589835 FUH589835 GED589835 GNZ589835 GXV589835 HHR589835 HRN589835 IBJ589835 ILF589835 IVB589835 JEX589835 JOT589835 JYP589835 KIL589835 KSH589835 LCD589835 LLZ589835 LVV589835 MFR589835 MPN589835 MZJ589835 NJF589835 NTB589835 OCX589835 OMT589835 OWP589835 PGL589835 PQH589835 QAD589835 QJZ589835 QTV589835 RDR589835 RNN589835 RXJ589835 SHF589835 SRB589835 TAX589835 TKT589835 TUP589835 UEL589835 UOH589835 UYD589835 VHZ589835 VRV589835 WBR589835 WLN589835 WVJ589835 B655301 IX655371 ST655371 ACP655371 AML655371 AWH655371 BGD655371 BPZ655371 BZV655371 CJR655371 CTN655371 DDJ655371 DNF655371 DXB655371 EGX655371 EQT655371 FAP655371 FKL655371 FUH655371 GED655371 GNZ655371 GXV655371 HHR655371 HRN655371 IBJ655371 ILF655371 IVB655371 JEX655371 JOT655371 JYP655371 KIL655371 KSH655371 LCD655371 LLZ655371 LVV655371 MFR655371 MPN655371 MZJ655371 NJF655371 NTB655371 OCX655371 OMT655371 OWP655371 PGL655371 PQH655371 QAD655371 QJZ655371 QTV655371 RDR655371 RNN655371 RXJ655371 SHF655371 SRB655371 TAX655371 TKT655371 TUP655371 UEL655371 UOH655371 UYD655371 VHZ655371 VRV655371 WBR655371 WLN655371 WVJ655371 B720837 IX720907 ST720907 ACP720907 AML720907 AWH720907 BGD720907 BPZ720907 BZV720907 CJR720907 CTN720907 DDJ720907 DNF720907 DXB720907 EGX720907 EQT720907 FAP720907 FKL720907 FUH720907 GED720907 GNZ720907 GXV720907 HHR720907 HRN720907 IBJ720907 ILF720907 IVB720907 JEX720907 JOT720907 JYP720907 KIL720907 KSH720907 LCD720907 LLZ720907 LVV720907 MFR720907 MPN720907 MZJ720907 NJF720907 NTB720907 OCX720907 OMT720907 OWP720907 PGL720907 PQH720907 QAD720907 QJZ720907 QTV720907 RDR720907 RNN720907 RXJ720907 SHF720907 SRB720907 TAX720907 TKT720907 TUP720907 UEL720907 UOH720907 UYD720907 VHZ720907 VRV720907 WBR720907 WLN720907 WVJ720907 B786373 IX786443 ST786443 ACP786443 AML786443 AWH786443 BGD786443 BPZ786443 BZV786443 CJR786443 CTN786443 DDJ786443 DNF786443 DXB786443 EGX786443 EQT786443 FAP786443 FKL786443 FUH786443 GED786443 GNZ786443 GXV786443 HHR786443 HRN786443 IBJ786443 ILF786443 IVB786443 JEX786443 JOT786443 JYP786443 KIL786443 KSH786443 LCD786443 LLZ786443 LVV786443 MFR786443 MPN786443 MZJ786443 NJF786443 NTB786443 OCX786443 OMT786443 OWP786443 PGL786443 PQH786443 QAD786443 QJZ786443 QTV786443 RDR786443 RNN786443 RXJ786443 SHF786443 SRB786443 TAX786443 TKT786443 TUP786443 UEL786443 UOH786443 UYD786443 VHZ786443 VRV786443 WBR786443 WLN786443 WVJ786443 B851909 IX851979 ST851979 ACP851979 AML851979 AWH851979 BGD851979 BPZ851979 BZV851979 CJR851979 CTN851979 DDJ851979 DNF851979 DXB851979 EGX851979 EQT851979 FAP851979 FKL851979 FUH851979 GED851979 GNZ851979 GXV851979 HHR851979 HRN851979 IBJ851979 ILF851979 IVB851979 JEX851979 JOT851979 JYP851979 KIL851979 KSH851979 LCD851979 LLZ851979 LVV851979 MFR851979 MPN851979 MZJ851979 NJF851979 NTB851979 OCX851979 OMT851979 OWP851979 PGL851979 PQH851979 QAD851979 QJZ851979 QTV851979 RDR851979 RNN851979 RXJ851979 SHF851979 SRB851979 TAX851979 TKT851979 TUP851979 UEL851979 UOH851979 UYD851979 VHZ851979 VRV851979 WBR851979 WLN851979 WVJ851979 B917445 IX917515 ST917515 ACP917515 AML917515 AWH917515 BGD917515 BPZ917515 BZV917515 CJR917515 CTN917515 DDJ917515 DNF917515 DXB917515 EGX917515 EQT917515 FAP917515 FKL917515 FUH917515 GED917515 GNZ917515 GXV917515 HHR917515 HRN917515 IBJ917515 ILF917515 IVB917515 JEX917515 JOT917515 JYP917515 KIL917515 KSH917515 LCD917515 LLZ917515 LVV917515 MFR917515 MPN917515 MZJ917515 NJF917515 NTB917515 OCX917515 OMT917515 OWP917515 PGL917515 PQH917515 QAD917515 QJZ917515 QTV917515 RDR917515 RNN917515 RXJ917515 SHF917515 SRB917515 TAX917515 TKT917515 TUP917515 UEL917515 UOH917515 UYD917515 VHZ917515 VRV917515 WBR917515 WLN917515 WVJ917515 B982981 IX983051 ST983051 ACP983051 AML983051 AWH983051 BGD983051 BPZ983051 BZV983051 CJR983051 CTN983051 DDJ983051 DNF983051 DXB983051 EGX983051 EQT983051 FAP983051 FKL983051 FUH983051 GED983051 GNZ983051 GXV983051 HHR983051 HRN983051 IBJ983051 ILF983051 IVB983051 JEX983051 JOT983051 JYP983051 KIL983051 KSH983051 LCD983051 LLZ983051 LVV983051 MFR983051 MPN983051 MZJ983051 NJF983051 NTB983051 OCX983051 OMT983051 OWP983051 PGL983051 PQH983051 QAD983051 QJZ983051 QTV983051 RDR983051 RNN983051 RXJ983051 SHF983051 SRB983051 TAX983051 TKT983051 TUP983051 UEL983051 UOH983051 UYD983051 VHZ983051 VRV983051 WBR983051 WLN983051" xr:uid="{ED5D204A-B78E-45B5-9764-F00615019A47}">
      <formula1>$K$2:$K$126</formula1>
    </dataValidation>
    <dataValidation type="list" allowBlank="1" showInputMessage="1" showErrorMessage="1" sqref="B26" xr:uid="{6D67BC36-A620-445E-8995-C0BFDB02996C}">
      <formula1>$T$2:$T$137</formula1>
    </dataValidation>
  </dataValidations>
  <printOptions horizontalCentered="1"/>
  <pageMargins left="0.39370078740157483" right="0.39370078740157483" top="0.78740157480314965" bottom="0.78740157480314965" header="0.39370078740157483" footer="0.39370078740157483"/>
  <pageSetup paperSize="9" scale="55" fitToHeight="5" orientation="portrait" horizontalDpi="1200" verticalDpi="1200" r:id="rId1"/>
  <headerFooter alignWithMargins="0">
    <oddHeader>&amp;C&amp;"標楷體,標準"&amp;16智崴資訊側立式電動平台-電動缸計算</oddHeader>
  </headerFooter>
  <drawing r:id="rId2"/>
  <legacyDrawing r:id="rId3"/>
  <oleObjects>
    <mc:AlternateContent xmlns:mc="http://schemas.openxmlformats.org/markup-compatibility/2006">
      <mc:Choice Requires="x14">
        <oleObject progId="Equation.3" shapeId="6145" r:id="rId4">
          <objectPr defaultSize="0" autoPict="0" r:id="rId5">
            <anchor moveWithCells="1" sizeWithCells="1">
              <from>
                <xdr:col>0</xdr:col>
                <xdr:colOff>259080</xdr:colOff>
                <xdr:row>144</xdr:row>
                <xdr:rowOff>0</xdr:rowOff>
              </from>
              <to>
                <xdr:col>0</xdr:col>
                <xdr:colOff>693420</xdr:colOff>
                <xdr:row>144</xdr:row>
                <xdr:rowOff>0</xdr:rowOff>
              </to>
            </anchor>
          </objectPr>
        </oleObject>
      </mc:Choice>
      <mc:Fallback>
        <oleObject progId="Equation.3" shapeId="6145" r:id="rId4"/>
      </mc:Fallback>
    </mc:AlternateContent>
    <mc:AlternateContent xmlns:mc="http://schemas.openxmlformats.org/markup-compatibility/2006">
      <mc:Choice Requires="x14">
        <oleObject progId="Equation.3" shapeId="6149" r:id="rId6">
          <objectPr defaultSize="0" autoPict="0" r:id="rId7">
            <anchor moveWithCells="1" sizeWithCells="1">
              <from>
                <xdr:col>0</xdr:col>
                <xdr:colOff>38100</xdr:colOff>
                <xdr:row>150</xdr:row>
                <xdr:rowOff>0</xdr:rowOff>
              </from>
              <to>
                <xdr:col>0</xdr:col>
                <xdr:colOff>678180</xdr:colOff>
                <xdr:row>150</xdr:row>
                <xdr:rowOff>15240</xdr:rowOff>
              </to>
            </anchor>
          </objectPr>
        </oleObject>
      </mc:Choice>
      <mc:Fallback>
        <oleObject progId="Equation.3" shapeId="6149" r:id="rId6"/>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CF0C-1813-4CBB-82D1-C74DFEF84348}">
  <dimension ref="A1:G24"/>
  <sheetViews>
    <sheetView topLeftCell="A4" zoomScale="190" zoomScaleNormal="190" workbookViewId="0">
      <selection activeCell="A19" sqref="A19"/>
    </sheetView>
  </sheetViews>
  <sheetFormatPr defaultColWidth="8.77734375" defaultRowHeight="15" x14ac:dyDescent="0.25"/>
  <cols>
    <col min="1" max="1" width="27.21875" style="2" bestFit="1" customWidth="1"/>
    <col min="2" max="2" width="9.77734375" style="2" bestFit="1" customWidth="1"/>
    <col min="3" max="3" width="10.6640625" style="2" bestFit="1" customWidth="1"/>
    <col min="4" max="4" width="11.6640625" style="2" bestFit="1" customWidth="1"/>
    <col min="5" max="16384" width="8.77734375" style="2"/>
  </cols>
  <sheetData>
    <row r="1" spans="1:5" ht="18.600000000000001" x14ac:dyDescent="0.4">
      <c r="A1" s="1" t="s">
        <v>11</v>
      </c>
      <c r="B1" s="63">
        <f>+'o-Ride E_730'!B2</f>
        <v>730</v>
      </c>
      <c r="C1" s="2" t="s">
        <v>40</v>
      </c>
      <c r="D1" s="60">
        <f>+ROUND(B1*9.81,2)</f>
        <v>7161.3</v>
      </c>
      <c r="E1" s="2" t="s">
        <v>0</v>
      </c>
    </row>
    <row r="2" spans="1:5" ht="16.2" x14ac:dyDescent="0.3">
      <c r="A2" s="2" t="s">
        <v>7</v>
      </c>
      <c r="B2" s="6">
        <v>0.9</v>
      </c>
    </row>
    <row r="3" spans="1:5" ht="16.2" x14ac:dyDescent="0.3">
      <c r="A3" s="1" t="s">
        <v>273</v>
      </c>
      <c r="B3" s="2">
        <f>ROUND(B1/B2,2)</f>
        <v>811.11</v>
      </c>
      <c r="C3" s="2" t="s">
        <v>40</v>
      </c>
      <c r="D3" s="60">
        <f>+ROUND(B3*9.81,2)</f>
        <v>7956.99</v>
      </c>
      <c r="E3" s="2" t="s">
        <v>0</v>
      </c>
    </row>
    <row r="4" spans="1:5" ht="18.600000000000001" x14ac:dyDescent="0.4">
      <c r="A4" s="5" t="s">
        <v>12</v>
      </c>
      <c r="B4" s="60">
        <f>+'o-Ride E_730'!B9</f>
        <v>10</v>
      </c>
      <c r="C4" s="2" t="s">
        <v>19</v>
      </c>
      <c r="D4" s="2">
        <f>+B4/1000</f>
        <v>0.01</v>
      </c>
      <c r="E4" s="2" t="s">
        <v>4</v>
      </c>
    </row>
    <row r="5" spans="1:5" ht="18.600000000000001" x14ac:dyDescent="0.4">
      <c r="A5" s="2" t="s">
        <v>272</v>
      </c>
      <c r="B5" s="60">
        <f>+ROUND(B1*D4/(2*PI()*B2),2)</f>
        <v>1.29</v>
      </c>
      <c r="C5" s="2" t="s">
        <v>271</v>
      </c>
      <c r="D5" s="60">
        <f>+ROUND(D1*D4/(2*PI()*B2),2)</f>
        <v>12.66</v>
      </c>
      <c r="E5" s="2" t="s">
        <v>13</v>
      </c>
    </row>
    <row r="6" spans="1:5" x14ac:dyDescent="0.25">
      <c r="B6" s="60"/>
      <c r="D6" s="60"/>
    </row>
    <row r="7" spans="1:5" x14ac:dyDescent="0.25">
      <c r="B7" s="60"/>
      <c r="D7" s="60"/>
    </row>
    <row r="8" spans="1:5" ht="18.600000000000001" x14ac:dyDescent="0.4">
      <c r="A8" s="57" t="s">
        <v>8</v>
      </c>
      <c r="B8" s="6">
        <v>0.95</v>
      </c>
    </row>
    <row r="9" spans="1:5" s="3" customFormat="1" ht="18.600000000000001" x14ac:dyDescent="0.4">
      <c r="A9" s="3" t="s">
        <v>270</v>
      </c>
      <c r="B9" s="62">
        <f>+'o-Ride E_730'!B40</f>
        <v>32</v>
      </c>
    </row>
    <row r="10" spans="1:5" s="3" customFormat="1" ht="18.600000000000001" x14ac:dyDescent="0.4">
      <c r="A10" s="3" t="s">
        <v>269</v>
      </c>
      <c r="B10" s="62">
        <f>+'o-Ride E_730'!B46</f>
        <v>48</v>
      </c>
      <c r="D10" s="61"/>
    </row>
    <row r="11" spans="1:5" ht="16.2" x14ac:dyDescent="0.3">
      <c r="A11" s="5" t="s">
        <v>281</v>
      </c>
      <c r="B11" s="60">
        <f>+B10/B9</f>
        <v>1.5</v>
      </c>
    </row>
    <row r="12" spans="1:5" x14ac:dyDescent="0.25">
      <c r="B12" s="60"/>
    </row>
    <row r="13" spans="1:5" x14ac:dyDescent="0.25">
      <c r="B13" s="60"/>
    </row>
    <row r="14" spans="1:5" ht="18.600000000000001" x14ac:dyDescent="0.4">
      <c r="A14" s="2" t="s">
        <v>268</v>
      </c>
      <c r="B14" s="58">
        <f>+D5/(B11*B8)</f>
        <v>8.8842105263157904</v>
      </c>
      <c r="C14" s="2" t="s">
        <v>13</v>
      </c>
      <c r="D14" s="59">
        <f>+(D1*D4)/(2*PI()*B2*B11*B8)</f>
        <v>8.8869886468927106</v>
      </c>
      <c r="E14" s="2" t="s">
        <v>13</v>
      </c>
    </row>
    <row r="15" spans="1:5" x14ac:dyDescent="0.25">
      <c r="B15" s="58"/>
      <c r="D15" s="59"/>
    </row>
    <row r="17" spans="1:7" x14ac:dyDescent="0.25">
      <c r="E17" s="58"/>
    </row>
    <row r="19" spans="1:7" ht="16.2" x14ac:dyDescent="0.3">
      <c r="E19"/>
      <c r="G19"/>
    </row>
    <row r="24" spans="1:7" x14ac:dyDescent="0.25">
      <c r="A24" s="57"/>
    </row>
  </sheetData>
  <phoneticPr fontId="6"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082D-FBC0-46F4-A990-2265564D2C7F}">
  <dimension ref="A1:H18"/>
  <sheetViews>
    <sheetView zoomScale="175" zoomScaleNormal="175" workbookViewId="0">
      <selection activeCell="E10" sqref="E10"/>
    </sheetView>
  </sheetViews>
  <sheetFormatPr defaultColWidth="8.77734375" defaultRowHeight="15" x14ac:dyDescent="0.25"/>
  <cols>
    <col min="1" max="1" width="28.109375" style="3" customWidth="1"/>
    <col min="2" max="2" width="13.44140625" style="3" bestFit="1" customWidth="1"/>
    <col min="3" max="3" width="8.77734375" style="3"/>
    <col min="4" max="4" width="10.44140625" style="3" bestFit="1" customWidth="1"/>
    <col min="5" max="5" width="13.44140625" style="3" bestFit="1" customWidth="1"/>
    <col min="6" max="6" width="9.77734375" style="3" bestFit="1" customWidth="1"/>
    <col min="7" max="7" width="11.6640625" style="3" bestFit="1" customWidth="1"/>
    <col min="8" max="16384" width="8.77734375" style="3"/>
  </cols>
  <sheetData>
    <row r="1" spans="1:8" ht="18.600000000000001" x14ac:dyDescent="0.4">
      <c r="A1" s="5" t="s">
        <v>278</v>
      </c>
      <c r="B1" s="59">
        <f>+'o-Ride E_730'!B29</f>
        <v>9.5500000000000007</v>
      </c>
      <c r="C1" s="3" t="s">
        <v>1</v>
      </c>
    </row>
    <row r="2" spans="1:8" ht="18.600000000000001" x14ac:dyDescent="0.4">
      <c r="A2" s="3" t="s">
        <v>270</v>
      </c>
      <c r="B2" s="3">
        <f>+'o-Ride E_730'!B40</f>
        <v>32</v>
      </c>
    </row>
    <row r="3" spans="1:8" ht="18.600000000000001" x14ac:dyDescent="0.4">
      <c r="A3" s="3" t="s">
        <v>269</v>
      </c>
      <c r="B3" s="3">
        <f>+'o-Ride E_730'!B46</f>
        <v>48</v>
      </c>
    </row>
    <row r="4" spans="1:8" s="2" customFormat="1" ht="16.2" x14ac:dyDescent="0.3">
      <c r="A4" s="5" t="s">
        <v>281</v>
      </c>
      <c r="B4" s="60">
        <f>+B3/B2</f>
        <v>1.5</v>
      </c>
    </row>
    <row r="5" spans="1:8" s="2" customFormat="1" x14ac:dyDescent="0.25">
      <c r="B5" s="60"/>
    </row>
    <row r="6" spans="1:8" s="2" customFormat="1" x14ac:dyDescent="0.25">
      <c r="B6" s="60"/>
    </row>
    <row r="7" spans="1:8" ht="18.600000000000001" x14ac:dyDescent="0.4">
      <c r="A7" s="57" t="s">
        <v>276</v>
      </c>
      <c r="B7" s="65">
        <v>0.95</v>
      </c>
    </row>
    <row r="8" spans="1:8" s="2" customFormat="1" ht="18.600000000000001" x14ac:dyDescent="0.4">
      <c r="A8" s="5" t="s">
        <v>10</v>
      </c>
      <c r="B8" s="60">
        <f>+ROUND(B1*B4*B7,2)</f>
        <v>13.61</v>
      </c>
      <c r="C8" s="2" t="s">
        <v>13</v>
      </c>
      <c r="D8" s="60"/>
    </row>
    <row r="9" spans="1:8" s="2" customFormat="1" x14ac:dyDescent="0.25">
      <c r="B9" s="60"/>
      <c r="D9" s="60"/>
    </row>
    <row r="10" spans="1:8" s="2" customFormat="1" x14ac:dyDescent="0.25">
      <c r="B10" s="60"/>
      <c r="D10" s="60"/>
    </row>
    <row r="11" spans="1:8" ht="18.600000000000001" x14ac:dyDescent="0.4">
      <c r="A11" s="3" t="s">
        <v>275</v>
      </c>
      <c r="B11" s="3">
        <f>'o-Ride E_730'!B9/1000</f>
        <v>0.01</v>
      </c>
      <c r="C11" s="3" t="s">
        <v>4</v>
      </c>
    </row>
    <row r="12" spans="1:8" s="2" customFormat="1" ht="16.2" x14ac:dyDescent="0.3">
      <c r="A12" s="1" t="s">
        <v>274</v>
      </c>
      <c r="B12" s="6">
        <v>0.9</v>
      </c>
    </row>
    <row r="13" spans="1:8" ht="18.600000000000001" x14ac:dyDescent="0.4">
      <c r="A13" s="1" t="s">
        <v>11</v>
      </c>
      <c r="B13" s="64">
        <f>ROUND(2*PI()*B12*B8/B11,2)</f>
        <v>7696.27</v>
      </c>
      <c r="C13" s="3" t="s">
        <v>0</v>
      </c>
      <c r="D13" s="3">
        <f>+ROUND(B13/9.81,2)</f>
        <v>784.53</v>
      </c>
      <c r="E13" s="64" t="s">
        <v>40</v>
      </c>
      <c r="G13" s="59">
        <f>ROUND(2*PI()*B12*B1*B4*B7/B11,2)</f>
        <v>7695.57</v>
      </c>
      <c r="H13" s="3" t="s">
        <v>0</v>
      </c>
    </row>
    <row r="18" spans="5:5" x14ac:dyDescent="0.25">
      <c r="E18" s="59"/>
    </row>
  </sheetData>
  <phoneticPr fontId="6"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F320-72C8-4B8D-9D38-F011B8DA1A05}">
  <sheetPr>
    <pageSetUpPr fitToPage="1"/>
  </sheetPr>
  <dimension ref="A1:AM187"/>
  <sheetViews>
    <sheetView zoomScale="145" zoomScaleNormal="145" workbookViewId="0">
      <pane ySplit="1" topLeftCell="A2" activePane="bottomLeft" state="frozen"/>
      <selection activeCell="B3" sqref="B3"/>
      <selection pane="bottomLeft" activeCell="B25" sqref="B25"/>
    </sheetView>
  </sheetViews>
  <sheetFormatPr defaultColWidth="9" defaultRowHeight="15" x14ac:dyDescent="0.3"/>
  <cols>
    <col min="1" max="1" width="28.88671875" style="9" customWidth="1"/>
    <col min="2" max="2" width="25.5546875" style="9" bestFit="1" customWidth="1"/>
    <col min="3" max="3" width="14.109375" style="9" bestFit="1" customWidth="1"/>
    <col min="4" max="4" width="27.77734375" style="9" bestFit="1" customWidth="1"/>
    <col min="5" max="5" width="13.77734375" style="9" bestFit="1" customWidth="1"/>
    <col min="6" max="7" width="16" style="9" bestFit="1" customWidth="1"/>
    <col min="8" max="8" width="11.6640625" style="9" bestFit="1" customWidth="1"/>
    <col min="9" max="9" width="9.88671875" style="9" bestFit="1" customWidth="1"/>
    <col min="10" max="10" width="9.88671875" style="9" customWidth="1"/>
    <col min="11" max="11" width="29.109375" style="9" bestFit="1" customWidth="1"/>
    <col min="12" max="12" width="19.44140625" style="9" bestFit="1" customWidth="1"/>
    <col min="13" max="13" width="16.88671875" style="9" bestFit="1" customWidth="1"/>
    <col min="14" max="14" width="16.77734375" style="9" bestFit="1" customWidth="1"/>
    <col min="15" max="15" width="23.21875" style="9" bestFit="1" customWidth="1"/>
    <col min="16" max="16" width="24.77734375" style="9" bestFit="1" customWidth="1"/>
    <col min="17" max="17" width="17.77734375" style="9" bestFit="1" customWidth="1"/>
    <col min="18" max="18" width="12.88671875" style="9" bestFit="1" customWidth="1"/>
    <col min="19" max="19" width="9.6640625" style="9" bestFit="1" customWidth="1"/>
    <col min="20" max="20" width="23.5546875" style="9" bestFit="1" customWidth="1"/>
    <col min="21" max="21" width="18" style="9" bestFit="1" customWidth="1"/>
    <col min="22" max="22" width="15.5546875" style="9" bestFit="1" customWidth="1"/>
    <col min="23" max="24" width="10.5546875" style="9" bestFit="1" customWidth="1"/>
    <col min="25" max="25" width="13" style="9" bestFit="1" customWidth="1"/>
    <col min="26" max="26" width="15.5546875" style="9" bestFit="1" customWidth="1"/>
    <col min="27" max="28" width="10.5546875" style="9" bestFit="1" customWidth="1"/>
    <col min="29" max="29" width="9.88671875" style="9" bestFit="1" customWidth="1"/>
    <col min="30" max="31" width="10.5546875" style="9" bestFit="1" customWidth="1"/>
    <col min="32" max="32" width="12.33203125" style="9" bestFit="1" customWidth="1"/>
    <col min="33" max="34" width="9" style="9"/>
    <col min="35" max="35" width="21" style="9" bestFit="1" customWidth="1"/>
    <col min="36" max="36" width="6" style="9" bestFit="1" customWidth="1"/>
    <col min="37" max="37" width="10.5546875" style="9" bestFit="1" customWidth="1"/>
    <col min="38" max="38" width="15.109375" style="9" bestFit="1" customWidth="1"/>
    <col min="39" max="39" width="13.5546875" style="9" bestFit="1" customWidth="1"/>
    <col min="40" max="41" width="9" style="9"/>
    <col min="42" max="42" width="19.6640625" style="9" bestFit="1" customWidth="1"/>
    <col min="43" max="43" width="5.44140625" style="9" bestFit="1" customWidth="1"/>
    <col min="44" max="44" width="9.44140625" style="9" bestFit="1" customWidth="1"/>
    <col min="45" max="45" width="13.44140625" style="9" bestFit="1" customWidth="1"/>
    <col min="46" max="46" width="12.109375" style="9" bestFit="1" customWidth="1"/>
    <col min="47" max="16384" width="9" style="9"/>
  </cols>
  <sheetData>
    <row r="1" spans="1:39" ht="16.2" x14ac:dyDescent="0.3">
      <c r="A1" s="4" t="s">
        <v>267</v>
      </c>
      <c r="B1" s="15">
        <v>1500</v>
      </c>
      <c r="C1" s="9" t="s">
        <v>18</v>
      </c>
      <c r="K1" s="4" t="s">
        <v>240</v>
      </c>
      <c r="L1" s="4" t="s">
        <v>266</v>
      </c>
      <c r="M1" s="4" t="s">
        <v>265</v>
      </c>
      <c r="N1" s="4" t="s">
        <v>264</v>
      </c>
      <c r="O1" s="4" t="s">
        <v>263</v>
      </c>
      <c r="P1" s="4" t="s">
        <v>262</v>
      </c>
      <c r="Q1" s="4" t="s">
        <v>261</v>
      </c>
      <c r="R1" s="4" t="s">
        <v>260</v>
      </c>
      <c r="T1" s="4" t="s">
        <v>184</v>
      </c>
      <c r="U1" s="4" t="s">
        <v>181</v>
      </c>
      <c r="V1" s="4" t="s">
        <v>178</v>
      </c>
      <c r="W1" s="4" t="s">
        <v>259</v>
      </c>
      <c r="X1" s="4" t="s">
        <v>173</v>
      </c>
      <c r="Y1" s="4" t="s">
        <v>258</v>
      </c>
      <c r="Z1" s="4" t="s">
        <v>169</v>
      </c>
      <c r="AA1" s="4" t="s">
        <v>166</v>
      </c>
      <c r="AB1" s="4" t="s">
        <v>164</v>
      </c>
      <c r="AC1" s="4" t="s">
        <v>161</v>
      </c>
      <c r="AD1" s="4" t="s">
        <v>24</v>
      </c>
      <c r="AE1" s="4" t="s">
        <v>23</v>
      </c>
      <c r="AI1" s="4" t="s">
        <v>257</v>
      </c>
      <c r="AJ1" s="4" t="s">
        <v>256</v>
      </c>
      <c r="AK1" s="4" t="s">
        <v>132</v>
      </c>
      <c r="AL1" s="4" t="s">
        <v>255</v>
      </c>
      <c r="AM1" s="4" t="s">
        <v>254</v>
      </c>
    </row>
    <row r="2" spans="1:39" ht="18.600000000000001" x14ac:dyDescent="0.4">
      <c r="A2" s="66" t="s">
        <v>11</v>
      </c>
      <c r="B2" s="56">
        <v>500</v>
      </c>
      <c r="C2" s="9" t="s">
        <v>40</v>
      </c>
      <c r="D2" s="9">
        <v>6</v>
      </c>
      <c r="E2" s="9" t="s">
        <v>253</v>
      </c>
      <c r="F2" s="14">
        <f>D2*B2</f>
        <v>3000</v>
      </c>
      <c r="G2" s="9" t="str">
        <f>C2</f>
        <v>kgf</v>
      </c>
      <c r="I2" s="9">
        <v>102</v>
      </c>
      <c r="K2" s="78" t="s">
        <v>321</v>
      </c>
      <c r="L2" s="79">
        <v>16</v>
      </c>
      <c r="M2" s="79">
        <v>5</v>
      </c>
      <c r="N2" s="79">
        <v>3</v>
      </c>
      <c r="O2" s="79">
        <v>1020</v>
      </c>
      <c r="P2" s="79">
        <v>1551</v>
      </c>
      <c r="Q2" s="79"/>
      <c r="R2" s="79">
        <v>35</v>
      </c>
      <c r="S2" s="78" t="s">
        <v>286</v>
      </c>
      <c r="T2" s="78" t="s">
        <v>475</v>
      </c>
      <c r="U2" s="83"/>
      <c r="V2" s="79">
        <v>0.4</v>
      </c>
      <c r="W2" s="84">
        <v>1000</v>
      </c>
      <c r="X2" s="79">
        <v>3.82</v>
      </c>
      <c r="Y2" s="79">
        <v>2</v>
      </c>
      <c r="Z2" s="84">
        <v>1500</v>
      </c>
      <c r="AA2" s="79">
        <v>11.5</v>
      </c>
      <c r="AB2" s="83">
        <v>6</v>
      </c>
      <c r="AC2" s="79">
        <v>5.8</v>
      </c>
      <c r="AD2" s="84">
        <v>19</v>
      </c>
      <c r="AE2" s="79">
        <f>58-5.3</f>
        <v>52.7</v>
      </c>
      <c r="AF2" s="78" t="s">
        <v>476</v>
      </c>
      <c r="AI2" s="9" t="s">
        <v>251</v>
      </c>
      <c r="AJ2" s="9">
        <v>18</v>
      </c>
      <c r="AK2" s="9">
        <v>25</v>
      </c>
      <c r="AL2" s="16">
        <v>45.84</v>
      </c>
      <c r="AM2" s="9">
        <v>33</v>
      </c>
    </row>
    <row r="3" spans="1:39" ht="16.2" x14ac:dyDescent="0.3">
      <c r="A3" s="4" t="s">
        <v>250</v>
      </c>
      <c r="B3" s="15">
        <v>200</v>
      </c>
      <c r="C3" s="9" t="s">
        <v>19</v>
      </c>
      <c r="K3" s="78" t="s">
        <v>322</v>
      </c>
      <c r="L3" s="79">
        <v>30</v>
      </c>
      <c r="M3" s="79">
        <v>5</v>
      </c>
      <c r="N3" s="79"/>
      <c r="O3" s="79">
        <v>9386</v>
      </c>
      <c r="P3" s="79">
        <v>18196</v>
      </c>
      <c r="Q3" s="79"/>
      <c r="R3" s="79">
        <v>85</v>
      </c>
      <c r="S3" s="78" t="s">
        <v>286</v>
      </c>
      <c r="T3" s="78" t="s">
        <v>477</v>
      </c>
      <c r="U3" s="83"/>
      <c r="V3" s="79">
        <v>0.6</v>
      </c>
      <c r="W3" s="84">
        <v>1500</v>
      </c>
      <c r="X3" s="79">
        <v>4</v>
      </c>
      <c r="Y3" s="79">
        <v>2.6</v>
      </c>
      <c r="Z3" s="84">
        <v>2000</v>
      </c>
      <c r="AA3" s="79">
        <v>12</v>
      </c>
      <c r="AB3" s="83">
        <v>7.8</v>
      </c>
      <c r="AC3" s="79">
        <v>5.8</v>
      </c>
      <c r="AD3" s="84">
        <v>19</v>
      </c>
      <c r="AE3" s="79">
        <f>58-5.3</f>
        <v>52.7</v>
      </c>
      <c r="AF3" s="78" t="s">
        <v>476</v>
      </c>
      <c r="AI3" s="9" t="s">
        <v>248</v>
      </c>
      <c r="AJ3" s="9">
        <v>18</v>
      </c>
      <c r="AK3" s="9">
        <v>30</v>
      </c>
      <c r="AL3" s="16">
        <v>45.84</v>
      </c>
      <c r="AM3" s="9">
        <v>38</v>
      </c>
    </row>
    <row r="4" spans="1:39" ht="16.2" x14ac:dyDescent="0.3">
      <c r="A4" s="4" t="s">
        <v>247</v>
      </c>
      <c r="B4" s="15">
        <v>90</v>
      </c>
      <c r="C4" s="9" t="s">
        <v>246</v>
      </c>
      <c r="K4" s="78" t="s">
        <v>287</v>
      </c>
      <c r="L4" s="79">
        <v>30</v>
      </c>
      <c r="M4" s="79">
        <v>6</v>
      </c>
      <c r="N4" s="79"/>
      <c r="O4" s="79">
        <v>9694</v>
      </c>
      <c r="P4" s="79">
        <v>17892</v>
      </c>
      <c r="Q4" s="79"/>
      <c r="R4" s="79">
        <v>85</v>
      </c>
      <c r="S4" s="78" t="s">
        <v>286</v>
      </c>
      <c r="T4" s="78" t="s">
        <v>478</v>
      </c>
      <c r="U4" s="83"/>
      <c r="V4" s="79">
        <v>0.75</v>
      </c>
      <c r="W4" s="84">
        <v>2000</v>
      </c>
      <c r="X4" s="79">
        <v>3.58</v>
      </c>
      <c r="Y4" s="79">
        <v>3.2</v>
      </c>
      <c r="Z4" s="84">
        <v>2500</v>
      </c>
      <c r="AA4" s="79">
        <v>10.7</v>
      </c>
      <c r="AB4" s="83">
        <v>9.6</v>
      </c>
      <c r="AC4" s="79">
        <v>5.8</v>
      </c>
      <c r="AD4" s="84">
        <v>19</v>
      </c>
      <c r="AE4" s="79">
        <f>58-5.3</f>
        <v>52.7</v>
      </c>
      <c r="AF4" s="78" t="s">
        <v>476</v>
      </c>
      <c r="AI4" s="9" t="s">
        <v>245</v>
      </c>
      <c r="AJ4" s="9">
        <v>19</v>
      </c>
      <c r="AK4" s="9">
        <v>25</v>
      </c>
      <c r="AL4" s="16">
        <v>48.38</v>
      </c>
      <c r="AM4" s="9">
        <v>33</v>
      </c>
    </row>
    <row r="5" spans="1:39" ht="16.2" x14ac:dyDescent="0.3">
      <c r="A5" s="4" t="s">
        <v>244</v>
      </c>
      <c r="B5" s="16">
        <v>0.01</v>
      </c>
      <c r="K5" s="78" t="s">
        <v>288</v>
      </c>
      <c r="L5" s="79">
        <v>30</v>
      </c>
      <c r="M5" s="79">
        <v>10</v>
      </c>
      <c r="N5" s="79"/>
      <c r="O5" s="79">
        <v>10849</v>
      </c>
      <c r="P5" s="79">
        <v>17792</v>
      </c>
      <c r="Q5" s="79"/>
      <c r="R5" s="79">
        <v>85</v>
      </c>
      <c r="S5" s="78" t="s">
        <v>286</v>
      </c>
      <c r="T5" s="78" t="s">
        <v>479</v>
      </c>
      <c r="U5" s="83"/>
      <c r="V5" s="79">
        <v>0.75</v>
      </c>
      <c r="W5" s="84">
        <v>1500</v>
      </c>
      <c r="X5" s="79">
        <v>5</v>
      </c>
      <c r="Y5" s="79">
        <v>3.2</v>
      </c>
      <c r="Z5" s="84">
        <v>2000</v>
      </c>
      <c r="AA5" s="79">
        <v>12</v>
      </c>
      <c r="AB5" s="83">
        <v>9.6</v>
      </c>
      <c r="AC5" s="79">
        <v>6.6</v>
      </c>
      <c r="AD5" s="84">
        <v>19</v>
      </c>
      <c r="AE5" s="79">
        <f>58-5.3</f>
        <v>52.7</v>
      </c>
      <c r="AF5" s="78" t="s">
        <v>476</v>
      </c>
      <c r="AI5" s="9" t="s">
        <v>243</v>
      </c>
      <c r="AJ5" s="9">
        <v>19</v>
      </c>
      <c r="AK5" s="9">
        <v>30</v>
      </c>
      <c r="AL5" s="16">
        <v>48.38</v>
      </c>
      <c r="AM5" s="9">
        <v>38</v>
      </c>
    </row>
    <row r="6" spans="1:39" x14ac:dyDescent="0.3">
      <c r="K6" s="78" t="s">
        <v>289</v>
      </c>
      <c r="L6" s="79">
        <v>30</v>
      </c>
      <c r="M6" s="79">
        <v>20</v>
      </c>
      <c r="N6" s="79"/>
      <c r="O6" s="79">
        <v>12580</v>
      </c>
      <c r="P6" s="79">
        <v>18090</v>
      </c>
      <c r="Q6" s="79"/>
      <c r="R6" s="79">
        <v>85</v>
      </c>
      <c r="S6" s="78" t="s">
        <v>286</v>
      </c>
      <c r="T6" s="78" t="s">
        <v>480</v>
      </c>
      <c r="U6" s="9" t="s">
        <v>481</v>
      </c>
      <c r="V6" s="85">
        <v>2</v>
      </c>
      <c r="W6" s="86">
        <v>3000</v>
      </c>
      <c r="X6" s="85">
        <v>6.4</v>
      </c>
      <c r="Y6" s="85">
        <v>9.5</v>
      </c>
      <c r="Z6" s="86">
        <v>5000</v>
      </c>
      <c r="AA6" s="85">
        <v>19.2</v>
      </c>
      <c r="AB6" s="38"/>
      <c r="AC6" s="85"/>
      <c r="AD6" s="87">
        <v>19</v>
      </c>
      <c r="AE6" s="88">
        <v>50</v>
      </c>
      <c r="AF6" s="78" t="s">
        <v>476</v>
      </c>
      <c r="AI6" s="9" t="s">
        <v>241</v>
      </c>
      <c r="AJ6" s="9">
        <v>20</v>
      </c>
      <c r="AK6" s="9">
        <v>25</v>
      </c>
      <c r="AL6" s="16">
        <v>50.93</v>
      </c>
      <c r="AM6" s="9">
        <v>33</v>
      </c>
    </row>
    <row r="7" spans="1:39" ht="16.2" x14ac:dyDescent="0.3">
      <c r="A7" s="47" t="s">
        <v>240</v>
      </c>
      <c r="B7" s="46" t="s">
        <v>474</v>
      </c>
      <c r="C7" s="10"/>
      <c r="K7" s="78" t="s">
        <v>290</v>
      </c>
      <c r="L7" s="79">
        <v>30</v>
      </c>
      <c r="M7" s="79">
        <v>6</v>
      </c>
      <c r="N7" s="79"/>
      <c r="O7" s="79">
        <v>9230</v>
      </c>
      <c r="P7" s="79">
        <v>18305</v>
      </c>
      <c r="Q7" s="79"/>
      <c r="R7" s="79">
        <v>80</v>
      </c>
      <c r="S7" s="78" t="s">
        <v>286</v>
      </c>
      <c r="T7" s="78" t="s">
        <v>482</v>
      </c>
      <c r="U7" s="9" t="s">
        <v>483</v>
      </c>
      <c r="V7" s="85">
        <v>3</v>
      </c>
      <c r="W7" s="86">
        <v>2000</v>
      </c>
      <c r="X7" s="85">
        <v>15</v>
      </c>
      <c r="Y7" s="85">
        <v>11.7</v>
      </c>
      <c r="Z7" s="86">
        <v>2300</v>
      </c>
      <c r="AA7" s="85">
        <v>15</v>
      </c>
      <c r="AB7" s="38"/>
      <c r="AC7" s="85"/>
      <c r="AD7" s="87">
        <v>22</v>
      </c>
      <c r="AE7" s="88">
        <v>52</v>
      </c>
      <c r="AF7" s="78" t="s">
        <v>476</v>
      </c>
      <c r="AI7" s="9" t="s">
        <v>238</v>
      </c>
      <c r="AJ7" s="9">
        <v>20</v>
      </c>
      <c r="AK7" s="9">
        <v>30</v>
      </c>
      <c r="AL7" s="16">
        <v>50.93</v>
      </c>
      <c r="AM7" s="9">
        <v>38</v>
      </c>
    </row>
    <row r="8" spans="1:39" ht="19.8" x14ac:dyDescent="0.3">
      <c r="A8" s="4" t="s">
        <v>21</v>
      </c>
      <c r="B8" s="15">
        <f>INDEX($K$2:$S$187,MATCH($B$7,$K$2:$K$187),2)</f>
        <v>20</v>
      </c>
      <c r="C8" s="9" t="s">
        <v>19</v>
      </c>
      <c r="K8" s="78" t="s">
        <v>291</v>
      </c>
      <c r="L8" s="79">
        <v>30</v>
      </c>
      <c r="M8" s="79">
        <v>9</v>
      </c>
      <c r="N8" s="79"/>
      <c r="O8" s="79">
        <v>9951</v>
      </c>
      <c r="P8" s="79">
        <v>17760</v>
      </c>
      <c r="Q8" s="79"/>
      <c r="R8" s="79">
        <v>80</v>
      </c>
      <c r="S8" s="78" t="s">
        <v>286</v>
      </c>
      <c r="T8" s="89" t="s">
        <v>484</v>
      </c>
      <c r="U8" s="9" t="s">
        <v>242</v>
      </c>
      <c r="V8" s="85">
        <v>0.4</v>
      </c>
      <c r="W8" s="86">
        <v>3000</v>
      </c>
      <c r="X8" s="85">
        <v>1.274</v>
      </c>
      <c r="Y8" s="85">
        <v>2</v>
      </c>
      <c r="Z8" s="86">
        <v>4000</v>
      </c>
      <c r="AA8" s="85">
        <v>3.8220000000000001</v>
      </c>
      <c r="AB8" s="38">
        <v>6</v>
      </c>
      <c r="AC8" s="85">
        <v>2</v>
      </c>
      <c r="AD8" s="87">
        <v>14</v>
      </c>
      <c r="AE8" s="88">
        <v>27</v>
      </c>
      <c r="AF8" s="78" t="s">
        <v>485</v>
      </c>
      <c r="AI8" s="9" t="s">
        <v>236</v>
      </c>
      <c r="AJ8" s="9">
        <v>21</v>
      </c>
      <c r="AK8" s="9">
        <v>25</v>
      </c>
      <c r="AL8" s="16">
        <v>53.48</v>
      </c>
      <c r="AM8" s="9">
        <v>33</v>
      </c>
    </row>
    <row r="9" spans="1:39" ht="18.600000000000001" x14ac:dyDescent="0.4">
      <c r="A9" s="5" t="s">
        <v>12</v>
      </c>
      <c r="B9" s="15">
        <f>INDEX($K$2:$S$187,MATCH($B$7,$K$2:$K$187),3)</f>
        <v>10</v>
      </c>
      <c r="C9" s="9" t="s">
        <v>17</v>
      </c>
      <c r="K9" s="78" t="s">
        <v>292</v>
      </c>
      <c r="L9" s="79">
        <v>30</v>
      </c>
      <c r="M9" s="79">
        <v>12</v>
      </c>
      <c r="N9" s="79"/>
      <c r="O9" s="79">
        <v>10878</v>
      </c>
      <c r="P9" s="79">
        <v>18480</v>
      </c>
      <c r="Q9" s="79"/>
      <c r="R9" s="79">
        <v>80</v>
      </c>
      <c r="S9" s="78" t="s">
        <v>286</v>
      </c>
      <c r="T9" s="89" t="s">
        <v>486</v>
      </c>
      <c r="U9" s="9" t="s">
        <v>242</v>
      </c>
      <c r="V9" s="85">
        <v>0.4</v>
      </c>
      <c r="W9" s="86">
        <v>2000</v>
      </c>
      <c r="X9" s="85">
        <v>1.9</v>
      </c>
      <c r="Y9" s="85">
        <v>2.5</v>
      </c>
      <c r="Z9" s="86">
        <v>4000</v>
      </c>
      <c r="AA9" s="85">
        <v>5.7</v>
      </c>
      <c r="AB9" s="38">
        <v>7.5</v>
      </c>
      <c r="AC9" s="85">
        <v>3</v>
      </c>
      <c r="AD9" s="87">
        <v>14</v>
      </c>
      <c r="AE9" s="88">
        <v>30</v>
      </c>
      <c r="AF9" s="78" t="s">
        <v>485</v>
      </c>
      <c r="AI9" s="9" t="s">
        <v>233</v>
      </c>
      <c r="AJ9" s="9">
        <v>21</v>
      </c>
      <c r="AK9" s="9">
        <v>30</v>
      </c>
      <c r="AL9" s="16">
        <v>53.48</v>
      </c>
      <c r="AM9" s="9">
        <v>38</v>
      </c>
    </row>
    <row r="10" spans="1:39" ht="18.600000000000001" x14ac:dyDescent="0.3">
      <c r="A10" s="4" t="s">
        <v>279</v>
      </c>
      <c r="B10" s="15">
        <f>INDEX($K$2:$S$187,MATCH($B$7,$K$2:$K$187),5)</f>
        <v>2560</v>
      </c>
      <c r="C10" s="9" t="s">
        <v>40</v>
      </c>
      <c r="K10" s="78" t="s">
        <v>293</v>
      </c>
      <c r="L10" s="79">
        <v>30</v>
      </c>
      <c r="M10" s="79">
        <v>18</v>
      </c>
      <c r="N10" s="79"/>
      <c r="O10" s="79">
        <v>11647</v>
      </c>
      <c r="P10" s="79">
        <v>18017</v>
      </c>
      <c r="Q10" s="79"/>
      <c r="R10" s="79">
        <v>80</v>
      </c>
      <c r="S10" s="78" t="s">
        <v>286</v>
      </c>
      <c r="T10" s="89" t="s">
        <v>487</v>
      </c>
      <c r="U10" s="9" t="s">
        <v>242</v>
      </c>
      <c r="V10" s="85">
        <v>0.6</v>
      </c>
      <c r="W10" s="86">
        <v>2000</v>
      </c>
      <c r="X10" s="85">
        <v>2.84</v>
      </c>
      <c r="Y10" s="85">
        <v>3.2</v>
      </c>
      <c r="Z10" s="86">
        <v>4000</v>
      </c>
      <c r="AA10" s="85">
        <v>8.52</v>
      </c>
      <c r="AB10" s="38">
        <v>9</v>
      </c>
      <c r="AC10" s="85">
        <v>4</v>
      </c>
      <c r="AD10" s="87">
        <v>16</v>
      </c>
      <c r="AE10" s="88">
        <v>30</v>
      </c>
      <c r="AF10" s="78" t="s">
        <v>485</v>
      </c>
      <c r="AI10" s="9" t="s">
        <v>231</v>
      </c>
      <c r="AJ10" s="9">
        <v>22</v>
      </c>
      <c r="AK10" s="9">
        <v>25</v>
      </c>
      <c r="AL10" s="16">
        <v>56.02</v>
      </c>
      <c r="AM10" s="9">
        <v>33</v>
      </c>
    </row>
    <row r="11" spans="1:39" ht="18.600000000000001" x14ac:dyDescent="0.3">
      <c r="A11" s="9" t="s">
        <v>280</v>
      </c>
      <c r="B11" s="15">
        <f>INDEX($K$2:$S$187,MATCH($B$7,$K$2:$K$187),6)</f>
        <v>5530</v>
      </c>
      <c r="C11" s="9" t="s">
        <v>40</v>
      </c>
      <c r="K11" s="78" t="s">
        <v>294</v>
      </c>
      <c r="L11" s="79">
        <v>30</v>
      </c>
      <c r="M11" s="79">
        <v>24</v>
      </c>
      <c r="N11" s="79"/>
      <c r="O11" s="79">
        <v>12612</v>
      </c>
      <c r="P11" s="79">
        <v>18814</v>
      </c>
      <c r="Q11" s="79"/>
      <c r="R11" s="79">
        <v>80</v>
      </c>
      <c r="S11" s="78" t="s">
        <v>286</v>
      </c>
      <c r="T11" s="89" t="s">
        <v>488</v>
      </c>
      <c r="U11" s="9" t="s">
        <v>242</v>
      </c>
      <c r="V11" s="85">
        <v>1</v>
      </c>
      <c r="W11" s="86">
        <v>2000</v>
      </c>
      <c r="X11" s="85">
        <v>4.8</v>
      </c>
      <c r="Y11" s="85">
        <v>5.2</v>
      </c>
      <c r="Z11" s="86">
        <v>4000</v>
      </c>
      <c r="AA11" s="85">
        <v>14.4</v>
      </c>
      <c r="AB11" s="38">
        <v>15.6</v>
      </c>
      <c r="AC11" s="85">
        <v>6</v>
      </c>
      <c r="AD11" s="87">
        <v>16</v>
      </c>
      <c r="AE11" s="88">
        <v>30</v>
      </c>
      <c r="AF11" s="78" t="s">
        <v>485</v>
      </c>
      <c r="AI11" s="9" t="s">
        <v>229</v>
      </c>
      <c r="AJ11" s="9">
        <v>22</v>
      </c>
      <c r="AK11" s="9">
        <v>30</v>
      </c>
      <c r="AL11" s="16">
        <v>56.02</v>
      </c>
      <c r="AM11" s="9">
        <v>38</v>
      </c>
    </row>
    <row r="12" spans="1:39" ht="16.2" x14ac:dyDescent="0.3">
      <c r="A12" s="4" t="s">
        <v>228</v>
      </c>
      <c r="B12" s="15">
        <f>INDEX($K$2:$S$187,MATCH($B$7,$K$2:$K$187),7)</f>
        <v>47</v>
      </c>
      <c r="C12" s="9" t="s">
        <v>227</v>
      </c>
      <c r="K12" s="78" t="s">
        <v>295</v>
      </c>
      <c r="L12" s="79">
        <v>39</v>
      </c>
      <c r="M12" s="79">
        <v>10</v>
      </c>
      <c r="N12" s="79"/>
      <c r="O12" s="79">
        <v>15573</v>
      </c>
      <c r="P12" s="79">
        <v>27646</v>
      </c>
      <c r="Q12" s="79"/>
      <c r="R12" s="79">
        <v>100</v>
      </c>
      <c r="S12" s="78" t="s">
        <v>286</v>
      </c>
      <c r="T12" s="89" t="s">
        <v>252</v>
      </c>
      <c r="U12" s="9" t="s">
        <v>242</v>
      </c>
      <c r="V12" s="85">
        <v>3</v>
      </c>
      <c r="W12" s="86">
        <v>3000</v>
      </c>
      <c r="X12" s="85">
        <v>14.3</v>
      </c>
      <c r="Y12" s="85">
        <v>10</v>
      </c>
      <c r="Z12" s="86">
        <v>4000</v>
      </c>
      <c r="AA12" s="85">
        <v>42.9</v>
      </c>
      <c r="AB12" s="38"/>
      <c r="AC12" s="85">
        <v>13</v>
      </c>
      <c r="AD12" s="87">
        <v>28</v>
      </c>
      <c r="AE12" s="88">
        <v>51</v>
      </c>
      <c r="AF12" s="78" t="s">
        <v>485</v>
      </c>
      <c r="AI12" s="9" t="s">
        <v>225</v>
      </c>
      <c r="AJ12" s="9">
        <v>24</v>
      </c>
      <c r="AK12" s="9">
        <v>25</v>
      </c>
      <c r="AL12" s="16">
        <v>61.12</v>
      </c>
      <c r="AM12" s="9">
        <v>33</v>
      </c>
    </row>
    <row r="13" spans="1:39" ht="16.2" x14ac:dyDescent="0.3">
      <c r="A13" s="4" t="s">
        <v>224</v>
      </c>
      <c r="B13" s="15">
        <f>INDEX($K$2:$S$187,MATCH($B$7,$K$2:$K$187),8)</f>
        <v>62</v>
      </c>
      <c r="C13" s="9" t="s">
        <v>19</v>
      </c>
      <c r="K13" s="78" t="s">
        <v>296</v>
      </c>
      <c r="L13" s="79">
        <v>39</v>
      </c>
      <c r="M13" s="79">
        <v>20</v>
      </c>
      <c r="N13" s="79"/>
      <c r="O13" s="79">
        <v>17635</v>
      </c>
      <c r="P13" s="79">
        <v>26621</v>
      </c>
      <c r="Q13" s="79"/>
      <c r="R13" s="79">
        <v>100</v>
      </c>
      <c r="S13" s="78" t="s">
        <v>286</v>
      </c>
      <c r="T13" s="89" t="s">
        <v>249</v>
      </c>
      <c r="U13" s="9" t="s">
        <v>242</v>
      </c>
      <c r="V13" s="85">
        <v>3</v>
      </c>
      <c r="W13" s="86">
        <v>3000</v>
      </c>
      <c r="X13" s="85">
        <v>14.3</v>
      </c>
      <c r="Y13" s="85">
        <v>6.7</v>
      </c>
      <c r="Z13" s="86">
        <v>4000</v>
      </c>
      <c r="AA13" s="85">
        <v>42.9</v>
      </c>
      <c r="AB13" s="38"/>
      <c r="AC13" s="85">
        <v>13</v>
      </c>
      <c r="AD13" s="87">
        <v>28</v>
      </c>
      <c r="AE13" s="88">
        <v>51</v>
      </c>
      <c r="AF13" s="78" t="s">
        <v>485</v>
      </c>
      <c r="AI13" s="9" t="s">
        <v>222</v>
      </c>
      <c r="AJ13" s="9">
        <v>24</v>
      </c>
      <c r="AK13" s="9">
        <v>30</v>
      </c>
      <c r="AL13" s="16">
        <v>61.12</v>
      </c>
      <c r="AM13" s="9">
        <v>38</v>
      </c>
    </row>
    <row r="14" spans="1:39" ht="16.2" x14ac:dyDescent="0.3">
      <c r="A14" s="4" t="s">
        <v>20</v>
      </c>
      <c r="B14" s="15">
        <f>+B3+B13+200</f>
        <v>462</v>
      </c>
      <c r="C14" s="9" t="s">
        <v>19</v>
      </c>
      <c r="K14" s="78" t="s">
        <v>297</v>
      </c>
      <c r="L14" s="79">
        <v>48</v>
      </c>
      <c r="M14" s="79">
        <v>10</v>
      </c>
      <c r="N14" s="79"/>
      <c r="O14" s="79">
        <v>23627</v>
      </c>
      <c r="P14" s="79">
        <v>48481</v>
      </c>
      <c r="Q14" s="79"/>
      <c r="R14" s="79">
        <v>127</v>
      </c>
      <c r="S14" s="78" t="s">
        <v>286</v>
      </c>
      <c r="T14" s="89" t="s">
        <v>239</v>
      </c>
      <c r="U14" s="9" t="s">
        <v>210</v>
      </c>
      <c r="V14" s="85">
        <v>1</v>
      </c>
      <c r="W14" s="86">
        <v>3000</v>
      </c>
      <c r="X14" s="85">
        <v>3.18</v>
      </c>
      <c r="Y14" s="85">
        <v>6.1</v>
      </c>
      <c r="Z14" s="86">
        <v>5175</v>
      </c>
      <c r="AA14" s="85">
        <v>7.95</v>
      </c>
      <c r="AB14" s="38">
        <v>18</v>
      </c>
      <c r="AC14" s="85">
        <v>6</v>
      </c>
      <c r="AD14" s="87">
        <v>24</v>
      </c>
      <c r="AE14" s="88">
        <v>40</v>
      </c>
      <c r="AF14" s="78" t="s">
        <v>489</v>
      </c>
      <c r="AI14" s="9" t="s">
        <v>220</v>
      </c>
      <c r="AJ14" s="9">
        <v>25</v>
      </c>
      <c r="AK14" s="9">
        <v>25</v>
      </c>
      <c r="AL14" s="16">
        <v>63.66</v>
      </c>
      <c r="AM14" s="9">
        <v>33</v>
      </c>
    </row>
    <row r="15" spans="1:39" ht="19.8" x14ac:dyDescent="0.3">
      <c r="A15" s="4" t="s">
        <v>22</v>
      </c>
      <c r="B15" s="16">
        <f>ROUND(0.25*B8^2*PI()*B14*7850/1000000000,2)</f>
        <v>1.1399999999999999</v>
      </c>
      <c r="C15" s="15" t="s">
        <v>18</v>
      </c>
      <c r="K15" s="78" t="s">
        <v>298</v>
      </c>
      <c r="L15" s="79">
        <v>48</v>
      </c>
      <c r="M15" s="79">
        <v>20</v>
      </c>
      <c r="N15" s="79"/>
      <c r="O15" s="79">
        <v>27111</v>
      </c>
      <c r="P15" s="79">
        <v>47170</v>
      </c>
      <c r="Q15" s="79"/>
      <c r="R15" s="79">
        <v>127</v>
      </c>
      <c r="S15" s="78" t="s">
        <v>286</v>
      </c>
      <c r="T15" s="89" t="s">
        <v>237</v>
      </c>
      <c r="U15" s="9" t="s">
        <v>210</v>
      </c>
      <c r="V15" s="85">
        <v>1.5</v>
      </c>
      <c r="W15" s="86">
        <v>3000</v>
      </c>
      <c r="X15" s="85">
        <v>4.78</v>
      </c>
      <c r="Y15" s="85">
        <v>8.8000000000000007</v>
      </c>
      <c r="Z15" s="86">
        <v>5175</v>
      </c>
      <c r="AA15" s="85">
        <v>11.9</v>
      </c>
      <c r="AB15" s="38">
        <v>23</v>
      </c>
      <c r="AC15" s="85">
        <v>7</v>
      </c>
      <c r="AD15" s="87">
        <v>24</v>
      </c>
      <c r="AE15" s="88">
        <v>40</v>
      </c>
      <c r="AF15" s="78" t="s">
        <v>489</v>
      </c>
      <c r="AI15" s="9" t="s">
        <v>218</v>
      </c>
      <c r="AJ15" s="9">
        <v>25</v>
      </c>
      <c r="AK15" s="9">
        <v>30</v>
      </c>
      <c r="AL15" s="16">
        <v>63.66</v>
      </c>
      <c r="AM15" s="9">
        <v>38</v>
      </c>
    </row>
    <row r="16" spans="1:39" ht="16.2" x14ac:dyDescent="0.3">
      <c r="A16" s="4"/>
      <c r="B16" s="15"/>
      <c r="K16" s="78" t="s">
        <v>299</v>
      </c>
      <c r="L16" s="79">
        <v>56</v>
      </c>
      <c r="M16" s="79">
        <v>12</v>
      </c>
      <c r="N16" s="79"/>
      <c r="O16" s="79">
        <v>21650</v>
      </c>
      <c r="P16" s="79">
        <v>44196</v>
      </c>
      <c r="Q16" s="79"/>
      <c r="R16" s="79">
        <v>112</v>
      </c>
      <c r="S16" s="78" t="s">
        <v>286</v>
      </c>
      <c r="T16" s="89" t="s">
        <v>235</v>
      </c>
      <c r="U16" s="9" t="s">
        <v>234</v>
      </c>
      <c r="V16" s="85">
        <v>2</v>
      </c>
      <c r="W16" s="86">
        <v>3000</v>
      </c>
      <c r="X16" s="85">
        <v>6.37</v>
      </c>
      <c r="Y16" s="85">
        <v>14</v>
      </c>
      <c r="Z16" s="86">
        <v>5175</v>
      </c>
      <c r="AA16" s="85">
        <v>15.9</v>
      </c>
      <c r="AB16" s="38">
        <v>37</v>
      </c>
      <c r="AC16" s="85">
        <v>8.3000000000000007</v>
      </c>
      <c r="AD16" s="87">
        <v>24</v>
      </c>
      <c r="AE16" s="88">
        <v>40</v>
      </c>
      <c r="AF16" s="78" t="s">
        <v>489</v>
      </c>
      <c r="AI16" s="9" t="s">
        <v>215</v>
      </c>
      <c r="AJ16" s="9">
        <v>26</v>
      </c>
      <c r="AK16" s="9">
        <v>25</v>
      </c>
      <c r="AL16" s="16">
        <v>66.209999999999994</v>
      </c>
      <c r="AM16" s="9">
        <v>33</v>
      </c>
    </row>
    <row r="17" spans="1:39" ht="17.399999999999999" x14ac:dyDescent="0.3">
      <c r="A17" s="55" t="s">
        <v>214</v>
      </c>
      <c r="B17" s="54">
        <v>0.2</v>
      </c>
      <c r="C17" s="24" t="s">
        <v>213</v>
      </c>
      <c r="D17" s="53">
        <f>+B17*9.81</f>
        <v>1.9620000000000002</v>
      </c>
      <c r="E17" s="9" t="s">
        <v>212</v>
      </c>
      <c r="F17" s="15">
        <f>+D17*1000</f>
        <v>1962.0000000000002</v>
      </c>
      <c r="G17" s="9" t="s">
        <v>211</v>
      </c>
      <c r="K17" s="78" t="s">
        <v>300</v>
      </c>
      <c r="L17" s="79">
        <v>56</v>
      </c>
      <c r="M17" s="79">
        <v>24</v>
      </c>
      <c r="N17" s="79"/>
      <c r="O17" s="79">
        <v>24716</v>
      </c>
      <c r="P17" s="79">
        <v>42770</v>
      </c>
      <c r="Q17" s="79"/>
      <c r="R17" s="79">
        <v>112</v>
      </c>
      <c r="S17" s="78" t="s">
        <v>286</v>
      </c>
      <c r="T17" s="89" t="s">
        <v>232</v>
      </c>
      <c r="U17" s="9" t="s">
        <v>210</v>
      </c>
      <c r="V17" s="85">
        <v>1.5</v>
      </c>
      <c r="W17" s="86">
        <v>2000</v>
      </c>
      <c r="X17" s="85">
        <v>7.16</v>
      </c>
      <c r="Y17" s="85">
        <v>8</v>
      </c>
      <c r="Z17" s="86">
        <v>3450</v>
      </c>
      <c r="AA17" s="85">
        <v>21.5</v>
      </c>
      <c r="AB17" s="38">
        <v>24</v>
      </c>
      <c r="AC17" s="85">
        <v>10.3</v>
      </c>
      <c r="AD17" s="87">
        <v>24</v>
      </c>
      <c r="AE17" s="88">
        <v>50</v>
      </c>
      <c r="AF17" s="78" t="s">
        <v>489</v>
      </c>
      <c r="AI17" s="9" t="s">
        <v>209</v>
      </c>
      <c r="AJ17" s="9">
        <v>26</v>
      </c>
      <c r="AK17" s="9">
        <v>30</v>
      </c>
      <c r="AL17" s="16">
        <v>66.209999999999994</v>
      </c>
      <c r="AM17" s="9">
        <v>38</v>
      </c>
    </row>
    <row r="18" spans="1:39" ht="16.2" x14ac:dyDescent="0.3">
      <c r="A18" s="4" t="s">
        <v>208</v>
      </c>
      <c r="K18" s="78" t="s">
        <v>301</v>
      </c>
      <c r="L18" s="79">
        <v>60</v>
      </c>
      <c r="M18" s="79">
        <v>10</v>
      </c>
      <c r="N18" s="79"/>
      <c r="O18" s="79">
        <v>34548</v>
      </c>
      <c r="P18" s="79">
        <v>79560</v>
      </c>
      <c r="Q18" s="79"/>
      <c r="R18" s="79">
        <v>152</v>
      </c>
      <c r="S18" s="78" t="s">
        <v>286</v>
      </c>
      <c r="T18" s="89" t="s">
        <v>230</v>
      </c>
      <c r="U18" s="9" t="s">
        <v>216</v>
      </c>
      <c r="V18" s="85">
        <v>5</v>
      </c>
      <c r="W18" s="86">
        <v>3000</v>
      </c>
      <c r="X18" s="85">
        <v>15.9</v>
      </c>
      <c r="Y18" s="85">
        <v>28</v>
      </c>
      <c r="Z18" s="86">
        <v>5175</v>
      </c>
      <c r="AA18" s="85">
        <v>39.700000000000003</v>
      </c>
      <c r="AB18" s="38">
        <v>70</v>
      </c>
      <c r="AC18" s="85">
        <v>21</v>
      </c>
      <c r="AD18" s="87">
        <v>28</v>
      </c>
      <c r="AE18" s="88">
        <v>58</v>
      </c>
      <c r="AF18" s="78" t="s">
        <v>489</v>
      </c>
      <c r="AI18" s="9" t="s">
        <v>206</v>
      </c>
      <c r="AJ18" s="9">
        <v>28</v>
      </c>
      <c r="AK18" s="9">
        <v>25</v>
      </c>
      <c r="AL18" s="16">
        <v>71.3</v>
      </c>
      <c r="AM18" s="9">
        <v>33</v>
      </c>
    </row>
    <row r="19" spans="1:39" ht="16.2" x14ac:dyDescent="0.3">
      <c r="A19" s="4" t="s">
        <v>205</v>
      </c>
      <c r="K19" s="78" t="s">
        <v>302</v>
      </c>
      <c r="L19" s="79">
        <v>60</v>
      </c>
      <c r="M19" s="79">
        <v>20</v>
      </c>
      <c r="N19" s="79"/>
      <c r="O19" s="79">
        <v>40303</v>
      </c>
      <c r="P19" s="79">
        <v>80169</v>
      </c>
      <c r="Q19" s="79"/>
      <c r="R19" s="79">
        <v>152</v>
      </c>
      <c r="S19" s="78" t="s">
        <v>286</v>
      </c>
      <c r="T19" s="89" t="s">
        <v>226</v>
      </c>
      <c r="U19" s="9" t="s">
        <v>210</v>
      </c>
      <c r="V19" s="85">
        <v>3.5</v>
      </c>
      <c r="W19" s="86">
        <v>2000</v>
      </c>
      <c r="X19" s="85">
        <v>16.7</v>
      </c>
      <c r="Y19" s="85">
        <v>16</v>
      </c>
      <c r="Z19" s="86">
        <v>3450</v>
      </c>
      <c r="AA19" s="85">
        <v>50.1</v>
      </c>
      <c r="AB19" s="38">
        <v>48</v>
      </c>
      <c r="AC19" s="85">
        <v>25</v>
      </c>
      <c r="AD19" s="87">
        <v>35</v>
      </c>
      <c r="AE19" s="88">
        <v>75</v>
      </c>
      <c r="AF19" s="78" t="s">
        <v>489</v>
      </c>
      <c r="AI19" s="9" t="s">
        <v>203</v>
      </c>
      <c r="AJ19" s="9">
        <v>28</v>
      </c>
      <c r="AK19" s="9">
        <v>30</v>
      </c>
      <c r="AL19" s="16">
        <v>71.3</v>
      </c>
      <c r="AM19" s="9">
        <v>38</v>
      </c>
    </row>
    <row r="20" spans="1:39" ht="17.399999999999999" x14ac:dyDescent="0.3">
      <c r="A20" s="4" t="s">
        <v>202</v>
      </c>
      <c r="K20" s="78" t="s">
        <v>303</v>
      </c>
      <c r="L20" s="79">
        <v>64</v>
      </c>
      <c r="M20" s="79">
        <v>12</v>
      </c>
      <c r="N20" s="79"/>
      <c r="O20" s="79">
        <v>30243</v>
      </c>
      <c r="P20" s="79">
        <v>77888</v>
      </c>
      <c r="Q20" s="79"/>
      <c r="R20" s="79">
        <v>129</v>
      </c>
      <c r="S20" s="78" t="s">
        <v>286</v>
      </c>
      <c r="T20" s="89" t="s">
        <v>223</v>
      </c>
      <c r="U20" s="9" t="s">
        <v>210</v>
      </c>
      <c r="V20" s="85">
        <v>1.5</v>
      </c>
      <c r="W20" s="86">
        <v>2000</v>
      </c>
      <c r="X20" s="85">
        <v>7.16</v>
      </c>
      <c r="Y20" s="85">
        <v>8</v>
      </c>
      <c r="Z20" s="86">
        <v>3450</v>
      </c>
      <c r="AA20" s="85">
        <v>21.5</v>
      </c>
      <c r="AB20" s="38">
        <v>24</v>
      </c>
      <c r="AC20" s="85">
        <v>10.3</v>
      </c>
      <c r="AD20" s="87">
        <v>24</v>
      </c>
      <c r="AE20" s="88">
        <v>50</v>
      </c>
      <c r="AF20" s="78" t="s">
        <v>489</v>
      </c>
      <c r="AI20" s="9" t="s">
        <v>200</v>
      </c>
      <c r="AJ20" s="9">
        <v>30</v>
      </c>
      <c r="AK20" s="9">
        <v>15</v>
      </c>
      <c r="AL20" s="16">
        <v>28.65</v>
      </c>
      <c r="AM20" s="9">
        <v>21</v>
      </c>
    </row>
    <row r="21" spans="1:39" x14ac:dyDescent="0.3">
      <c r="K21" s="78" t="s">
        <v>304</v>
      </c>
      <c r="L21" s="79">
        <v>64</v>
      </c>
      <c r="M21" s="79">
        <v>24</v>
      </c>
      <c r="N21" s="79"/>
      <c r="O21" s="79">
        <v>33564</v>
      </c>
      <c r="P21" s="79">
        <v>70369</v>
      </c>
      <c r="Q21" s="79"/>
      <c r="R21" s="79">
        <v>129</v>
      </c>
      <c r="S21" s="78" t="s">
        <v>286</v>
      </c>
      <c r="T21" s="89" t="s">
        <v>221</v>
      </c>
      <c r="U21" s="9" t="s">
        <v>210</v>
      </c>
      <c r="V21" s="85">
        <v>7</v>
      </c>
      <c r="W21" s="86">
        <v>2000</v>
      </c>
      <c r="X21" s="85">
        <v>33.4</v>
      </c>
      <c r="Y21" s="85">
        <v>33</v>
      </c>
      <c r="Z21" s="86">
        <v>3450</v>
      </c>
      <c r="AA21" s="85">
        <v>100</v>
      </c>
      <c r="AB21" s="38">
        <v>99</v>
      </c>
      <c r="AC21" s="85">
        <v>38</v>
      </c>
      <c r="AD21" s="87">
        <v>35</v>
      </c>
      <c r="AE21" s="88">
        <v>75</v>
      </c>
      <c r="AF21" s="78" t="s">
        <v>489</v>
      </c>
      <c r="AI21" s="9" t="s">
        <v>198</v>
      </c>
      <c r="AJ21" s="9">
        <v>30</v>
      </c>
      <c r="AK21" s="9">
        <v>25</v>
      </c>
      <c r="AL21" s="16">
        <v>76.39</v>
      </c>
      <c r="AM21" s="9">
        <v>33</v>
      </c>
    </row>
    <row r="22" spans="1:39" ht="17.399999999999999" x14ac:dyDescent="0.3">
      <c r="A22" s="4" t="s">
        <v>197</v>
      </c>
      <c r="B22" s="45">
        <f>+F17/B9</f>
        <v>196.20000000000002</v>
      </c>
      <c r="C22" s="9" t="s">
        <v>196</v>
      </c>
      <c r="D22" s="15">
        <f>+ROUND(B22*2*PI(),0)</f>
        <v>1233</v>
      </c>
      <c r="E22" s="9" t="s">
        <v>16</v>
      </c>
      <c r="K22" s="78" t="s">
        <v>305</v>
      </c>
      <c r="L22" s="79">
        <v>75</v>
      </c>
      <c r="M22" s="79">
        <v>10</v>
      </c>
      <c r="N22" s="79"/>
      <c r="O22" s="79">
        <v>51516</v>
      </c>
      <c r="P22" s="79">
        <v>151702</v>
      </c>
      <c r="Q22" s="79"/>
      <c r="R22" s="79">
        <v>191</v>
      </c>
      <c r="S22" s="78" t="s">
        <v>286</v>
      </c>
      <c r="T22" s="89" t="s">
        <v>219</v>
      </c>
      <c r="U22" s="9" t="s">
        <v>210</v>
      </c>
      <c r="V22" s="85">
        <v>3.5</v>
      </c>
      <c r="W22" s="86">
        <v>2000</v>
      </c>
      <c r="X22" s="85">
        <v>16.7</v>
      </c>
      <c r="Y22" s="85">
        <v>16</v>
      </c>
      <c r="Z22" s="86">
        <v>3450</v>
      </c>
      <c r="AA22" s="85">
        <v>50.1</v>
      </c>
      <c r="AB22" s="38">
        <v>48</v>
      </c>
      <c r="AC22" s="85">
        <v>25</v>
      </c>
      <c r="AD22" s="87">
        <v>35</v>
      </c>
      <c r="AE22" s="88">
        <v>75</v>
      </c>
      <c r="AF22" s="78" t="s">
        <v>489</v>
      </c>
      <c r="AI22" s="9" t="s">
        <v>194</v>
      </c>
      <c r="AJ22" s="9">
        <v>30</v>
      </c>
      <c r="AK22" s="9">
        <v>30</v>
      </c>
      <c r="AL22" s="16">
        <v>76.39</v>
      </c>
      <c r="AM22" s="9">
        <v>38</v>
      </c>
    </row>
    <row r="23" spans="1:39" ht="16.2" x14ac:dyDescent="0.3">
      <c r="A23" s="52" t="s">
        <v>193</v>
      </c>
      <c r="B23" s="51">
        <v>0.01</v>
      </c>
      <c r="C23" s="51" t="s">
        <v>192</v>
      </c>
      <c r="K23" s="78" t="s">
        <v>306</v>
      </c>
      <c r="L23" s="79">
        <v>75</v>
      </c>
      <c r="M23" s="79">
        <v>20</v>
      </c>
      <c r="N23" s="79"/>
      <c r="O23" s="79">
        <v>58394</v>
      </c>
      <c r="P23" s="79">
        <v>152640</v>
      </c>
      <c r="Q23" s="79"/>
      <c r="R23" s="79">
        <v>191</v>
      </c>
      <c r="S23" s="78" t="s">
        <v>286</v>
      </c>
      <c r="T23" s="89" t="s">
        <v>217</v>
      </c>
      <c r="U23" s="9" t="s">
        <v>216</v>
      </c>
      <c r="V23" s="85">
        <v>3.5</v>
      </c>
      <c r="W23" s="86">
        <v>3000</v>
      </c>
      <c r="X23" s="85">
        <v>11.1</v>
      </c>
      <c r="Y23" s="85">
        <v>23</v>
      </c>
      <c r="Z23" s="86">
        <v>5175</v>
      </c>
      <c r="AA23" s="85">
        <v>27.9</v>
      </c>
      <c r="AB23" s="38">
        <v>58</v>
      </c>
      <c r="AC23" s="85">
        <v>15</v>
      </c>
      <c r="AD23" s="87">
        <v>28</v>
      </c>
      <c r="AE23" s="88">
        <v>58</v>
      </c>
      <c r="AF23" s="78" t="s">
        <v>489</v>
      </c>
      <c r="AI23" s="9" t="s">
        <v>190</v>
      </c>
      <c r="AJ23" s="9">
        <v>32</v>
      </c>
      <c r="AK23" s="9">
        <v>25</v>
      </c>
      <c r="AL23" s="16">
        <v>81.489999999999995</v>
      </c>
      <c r="AM23" s="9">
        <v>33</v>
      </c>
    </row>
    <row r="24" spans="1:39" ht="16.2" x14ac:dyDescent="0.3">
      <c r="A24" s="4" t="s">
        <v>189</v>
      </c>
      <c r="B24" s="50">
        <v>0.2</v>
      </c>
      <c r="C24" s="9" t="s">
        <v>108</v>
      </c>
      <c r="D24" s="11">
        <f>+B24*1000</f>
        <v>200</v>
      </c>
      <c r="E24" s="9" t="s">
        <v>109</v>
      </c>
      <c r="F24" s="48">
        <f>+B24*60</f>
        <v>12</v>
      </c>
      <c r="G24" s="9" t="s">
        <v>110</v>
      </c>
      <c r="H24" s="15">
        <f>+D24*60</f>
        <v>12000</v>
      </c>
      <c r="I24" s="9" t="s">
        <v>111</v>
      </c>
      <c r="K24" s="78" t="s">
        <v>307</v>
      </c>
      <c r="L24" s="79">
        <v>80</v>
      </c>
      <c r="M24" s="79">
        <v>12</v>
      </c>
      <c r="N24" s="79"/>
      <c r="O24" s="79">
        <v>41864</v>
      </c>
      <c r="P24" s="79">
        <v>118690</v>
      </c>
      <c r="Q24" s="79"/>
      <c r="R24" s="79">
        <v>156</v>
      </c>
      <c r="S24" s="78" t="s">
        <v>286</v>
      </c>
      <c r="T24" s="89" t="s">
        <v>490</v>
      </c>
      <c r="U24" s="9" t="s">
        <v>210</v>
      </c>
      <c r="V24" s="85">
        <v>7</v>
      </c>
      <c r="W24" s="86">
        <v>2000</v>
      </c>
      <c r="X24" s="85">
        <v>33.4</v>
      </c>
      <c r="Y24" s="85">
        <v>33</v>
      </c>
      <c r="Z24" s="86">
        <v>3450</v>
      </c>
      <c r="AA24" s="85">
        <v>100</v>
      </c>
      <c r="AB24" s="38">
        <v>99</v>
      </c>
      <c r="AC24" s="85">
        <v>38</v>
      </c>
      <c r="AD24" s="87">
        <v>35</v>
      </c>
      <c r="AE24" s="88">
        <v>75</v>
      </c>
      <c r="AF24" s="78" t="s">
        <v>489</v>
      </c>
      <c r="AI24" s="9" t="s">
        <v>187</v>
      </c>
      <c r="AJ24" s="9">
        <v>32</v>
      </c>
      <c r="AK24" s="9">
        <v>30</v>
      </c>
      <c r="AL24" s="16">
        <v>81.489999999999995</v>
      </c>
      <c r="AM24" s="9">
        <v>38</v>
      </c>
    </row>
    <row r="25" spans="1:39" x14ac:dyDescent="0.3">
      <c r="K25" s="78" t="s">
        <v>308</v>
      </c>
      <c r="L25" s="79">
        <v>80</v>
      </c>
      <c r="M25" s="79">
        <v>18</v>
      </c>
      <c r="N25" s="79"/>
      <c r="O25" s="79">
        <v>46524</v>
      </c>
      <c r="P25" s="79">
        <v>119146</v>
      </c>
      <c r="Q25" s="79"/>
      <c r="R25" s="79">
        <v>156</v>
      </c>
      <c r="S25" s="78" t="s">
        <v>286</v>
      </c>
      <c r="T25" s="89" t="s">
        <v>491</v>
      </c>
      <c r="U25" s="9" t="s">
        <v>492</v>
      </c>
      <c r="V25" s="85">
        <v>1</v>
      </c>
      <c r="W25" s="86">
        <v>3000</v>
      </c>
      <c r="X25" s="85">
        <v>3.2</v>
      </c>
      <c r="Y25" s="85">
        <v>5.6</v>
      </c>
      <c r="Z25" s="86">
        <v>6000</v>
      </c>
      <c r="AA25" s="85">
        <v>9.6</v>
      </c>
      <c r="AB25" s="38">
        <v>17</v>
      </c>
      <c r="AC25" s="85">
        <v>4.5</v>
      </c>
      <c r="AD25" s="87">
        <v>16</v>
      </c>
      <c r="AE25" s="88">
        <v>30</v>
      </c>
      <c r="AF25" s="78" t="s">
        <v>489</v>
      </c>
      <c r="AI25" s="9" t="s">
        <v>185</v>
      </c>
      <c r="AJ25" s="9">
        <v>34</v>
      </c>
      <c r="AK25" s="9">
        <v>25</v>
      </c>
      <c r="AL25" s="16">
        <v>86.58</v>
      </c>
      <c r="AM25" s="9">
        <v>33</v>
      </c>
    </row>
    <row r="26" spans="1:39" ht="16.2" x14ac:dyDescent="0.3">
      <c r="A26" s="47" t="s">
        <v>184</v>
      </c>
      <c r="B26" s="46" t="s">
        <v>572</v>
      </c>
      <c r="K26" s="78" t="s">
        <v>309</v>
      </c>
      <c r="L26" s="79">
        <v>80</v>
      </c>
      <c r="M26" s="79">
        <v>24</v>
      </c>
      <c r="N26" s="79"/>
      <c r="O26" s="79">
        <v>46816</v>
      </c>
      <c r="P26" s="79">
        <v>119598</v>
      </c>
      <c r="Q26" s="79"/>
      <c r="R26" s="79">
        <v>156</v>
      </c>
      <c r="S26" s="78" t="s">
        <v>286</v>
      </c>
      <c r="T26" s="89" t="s">
        <v>493</v>
      </c>
      <c r="U26" s="9" t="s">
        <v>494</v>
      </c>
      <c r="V26" s="85">
        <v>1.5</v>
      </c>
      <c r="W26" s="86">
        <v>3000</v>
      </c>
      <c r="X26" s="85">
        <v>4.8</v>
      </c>
      <c r="Y26" s="85">
        <v>11</v>
      </c>
      <c r="Z26" s="86">
        <v>6000</v>
      </c>
      <c r="AA26" s="85">
        <v>14.3</v>
      </c>
      <c r="AB26" s="38">
        <v>32</v>
      </c>
      <c r="AC26" s="85">
        <v>5.9</v>
      </c>
      <c r="AD26" s="87">
        <v>16</v>
      </c>
      <c r="AE26" s="88">
        <v>30</v>
      </c>
      <c r="AF26" s="78" t="s">
        <v>489</v>
      </c>
      <c r="AI26" s="9" t="s">
        <v>182</v>
      </c>
      <c r="AJ26" s="9">
        <v>34</v>
      </c>
      <c r="AK26" s="9">
        <v>30</v>
      </c>
      <c r="AL26" s="16">
        <v>86.58</v>
      </c>
      <c r="AM26" s="9">
        <v>38</v>
      </c>
    </row>
    <row r="27" spans="1:39" ht="16.2" x14ac:dyDescent="0.3">
      <c r="A27" s="4" t="s">
        <v>181</v>
      </c>
      <c r="B27" s="49" t="str">
        <f>INDEX($T$2:$AF$137,MATCH($B$26,$T$2:$T$137),2)</f>
        <v>HS200AE</v>
      </c>
      <c r="F27" s="12"/>
      <c r="K27" s="78" t="s">
        <v>310</v>
      </c>
      <c r="L27" s="79">
        <v>99</v>
      </c>
      <c r="M27" s="79">
        <v>20</v>
      </c>
      <c r="N27" s="79"/>
      <c r="O27" s="79">
        <v>94373</v>
      </c>
      <c r="P27" s="79">
        <v>315351</v>
      </c>
      <c r="Q27" s="79"/>
      <c r="R27" s="79">
        <v>260</v>
      </c>
      <c r="S27" s="78" t="s">
        <v>286</v>
      </c>
      <c r="T27" s="89" t="s">
        <v>495</v>
      </c>
      <c r="U27" s="9" t="s">
        <v>494</v>
      </c>
      <c r="V27" s="85">
        <v>2</v>
      </c>
      <c r="W27" s="86">
        <v>3000</v>
      </c>
      <c r="X27" s="85">
        <v>6.4</v>
      </c>
      <c r="Y27" s="85">
        <v>11</v>
      </c>
      <c r="Z27" s="86">
        <v>6000</v>
      </c>
      <c r="AA27" s="85">
        <v>19.100000000000001</v>
      </c>
      <c r="AB27" s="38">
        <v>32</v>
      </c>
      <c r="AC27" s="85">
        <v>7.5</v>
      </c>
      <c r="AD27" s="87">
        <v>16</v>
      </c>
      <c r="AE27" s="88">
        <v>30</v>
      </c>
      <c r="AF27" s="78" t="s">
        <v>489</v>
      </c>
      <c r="AI27" s="9" t="s">
        <v>179</v>
      </c>
      <c r="AJ27" s="9">
        <v>36</v>
      </c>
      <c r="AK27" s="9">
        <v>25</v>
      </c>
      <c r="AL27" s="16">
        <v>91.67</v>
      </c>
      <c r="AM27" s="9">
        <v>33</v>
      </c>
    </row>
    <row r="28" spans="1:39" ht="16.2" x14ac:dyDescent="0.3">
      <c r="A28" s="4" t="s">
        <v>178</v>
      </c>
      <c r="B28" s="45">
        <f>INDEX($T$2:$AF$137,MATCH($B$26,$T$2:$T$137),3)</f>
        <v>2</v>
      </c>
      <c r="C28" s="9" t="s">
        <v>3</v>
      </c>
      <c r="K28" s="78" t="s">
        <v>311</v>
      </c>
      <c r="L28" s="79">
        <v>100</v>
      </c>
      <c r="M28" s="79">
        <v>24</v>
      </c>
      <c r="N28" s="79"/>
      <c r="O28" s="79">
        <v>66919</v>
      </c>
      <c r="P28" s="79">
        <v>186308</v>
      </c>
      <c r="Q28" s="79"/>
      <c r="R28" s="79">
        <v>195</v>
      </c>
      <c r="S28" s="78" t="s">
        <v>286</v>
      </c>
      <c r="T28" s="89" t="s">
        <v>496</v>
      </c>
      <c r="U28" s="9" t="s">
        <v>497</v>
      </c>
      <c r="V28" s="85">
        <v>3.5</v>
      </c>
      <c r="W28" s="86">
        <v>3000</v>
      </c>
      <c r="X28" s="85">
        <v>10.5</v>
      </c>
      <c r="Y28" s="85">
        <v>17</v>
      </c>
      <c r="Z28" s="86">
        <v>6000</v>
      </c>
      <c r="AA28" s="85">
        <v>32</v>
      </c>
      <c r="AB28" s="38">
        <v>51</v>
      </c>
      <c r="AC28" s="85">
        <v>13</v>
      </c>
      <c r="AD28" s="87">
        <v>28</v>
      </c>
      <c r="AE28" s="88">
        <v>50</v>
      </c>
      <c r="AF28" s="78" t="s">
        <v>489</v>
      </c>
      <c r="AI28" s="9" t="s">
        <v>176</v>
      </c>
      <c r="AJ28" s="9">
        <v>36</v>
      </c>
      <c r="AK28" s="9">
        <v>30</v>
      </c>
      <c r="AL28" s="16">
        <v>91.67</v>
      </c>
      <c r="AM28" s="9">
        <v>38</v>
      </c>
    </row>
    <row r="29" spans="1:39" ht="18.600000000000001" x14ac:dyDescent="0.4">
      <c r="A29" s="5" t="s">
        <v>278</v>
      </c>
      <c r="B29" s="16">
        <f>INDEX($T$2:$AF$137,MATCH($B$26,$T$2:$T$137),5)</f>
        <v>6.4</v>
      </c>
      <c r="C29" s="9" t="s">
        <v>13</v>
      </c>
      <c r="K29" s="78" t="s">
        <v>312</v>
      </c>
      <c r="L29" s="79">
        <v>120</v>
      </c>
      <c r="M29" s="79">
        <v>24</v>
      </c>
      <c r="N29" s="80"/>
      <c r="O29" s="79">
        <v>93369</v>
      </c>
      <c r="P29" s="79">
        <v>308883</v>
      </c>
      <c r="Q29" s="79"/>
      <c r="R29" s="79">
        <v>240</v>
      </c>
      <c r="S29" s="78" t="s">
        <v>286</v>
      </c>
      <c r="T29" s="89" t="s">
        <v>498</v>
      </c>
      <c r="U29" s="9" t="s">
        <v>499</v>
      </c>
      <c r="V29" s="85">
        <v>5</v>
      </c>
      <c r="W29" s="86">
        <v>3000</v>
      </c>
      <c r="X29" s="85">
        <v>15.9</v>
      </c>
      <c r="Y29" s="85">
        <v>27</v>
      </c>
      <c r="Z29" s="86">
        <v>6000</v>
      </c>
      <c r="AA29" s="85">
        <v>47.7</v>
      </c>
      <c r="AB29" s="38">
        <v>81</v>
      </c>
      <c r="AC29" s="85">
        <v>18</v>
      </c>
      <c r="AD29" s="87">
        <v>28</v>
      </c>
      <c r="AE29" s="88">
        <v>50</v>
      </c>
      <c r="AF29" s="78" t="s">
        <v>489</v>
      </c>
      <c r="AI29" s="9" t="s">
        <v>174</v>
      </c>
      <c r="AJ29" s="9">
        <v>38</v>
      </c>
      <c r="AK29" s="9">
        <v>25</v>
      </c>
      <c r="AL29" s="16">
        <v>96.77</v>
      </c>
      <c r="AM29" s="9">
        <v>33</v>
      </c>
    </row>
    <row r="30" spans="1:39" ht="16.2" x14ac:dyDescent="0.3">
      <c r="A30" s="4" t="s">
        <v>173</v>
      </c>
      <c r="B30" s="16">
        <f>INDEX($T$2:$AF$137,MATCH($B$26,$T$2:$T$137),8)</f>
        <v>19.2</v>
      </c>
      <c r="C30" s="9" t="s">
        <v>13</v>
      </c>
      <c r="E30" s="48"/>
      <c r="K30" s="78" t="s">
        <v>313</v>
      </c>
      <c r="L30" s="79">
        <v>120</v>
      </c>
      <c r="M30" s="79">
        <v>25</v>
      </c>
      <c r="N30" s="80"/>
      <c r="O30" s="79">
        <v>115044</v>
      </c>
      <c r="P30" s="79">
        <v>412038</v>
      </c>
      <c r="Q30" s="79"/>
      <c r="R30" s="79">
        <v>280</v>
      </c>
      <c r="S30" s="78" t="s">
        <v>286</v>
      </c>
      <c r="T30" s="89" t="s">
        <v>500</v>
      </c>
      <c r="U30" s="9" t="s">
        <v>501</v>
      </c>
      <c r="V30" s="85">
        <v>0.5</v>
      </c>
      <c r="W30" s="86">
        <v>3000</v>
      </c>
      <c r="X30" s="85">
        <v>1.6</v>
      </c>
      <c r="Y30" s="85">
        <v>3</v>
      </c>
      <c r="Z30" s="86">
        <v>6000</v>
      </c>
      <c r="AA30" s="85">
        <v>4.8</v>
      </c>
      <c r="AB30" s="38">
        <v>9</v>
      </c>
      <c r="AC30" s="85">
        <v>3</v>
      </c>
      <c r="AD30" s="87">
        <v>16</v>
      </c>
      <c r="AE30" s="88">
        <v>30</v>
      </c>
      <c r="AF30" s="78" t="s">
        <v>489</v>
      </c>
      <c r="AI30" s="9" t="s">
        <v>171</v>
      </c>
      <c r="AJ30" s="9">
        <v>38</v>
      </c>
      <c r="AK30" s="9">
        <v>30</v>
      </c>
      <c r="AL30" s="16">
        <v>96.77</v>
      </c>
      <c r="AM30" s="9">
        <v>38</v>
      </c>
    </row>
    <row r="31" spans="1:39" ht="18.600000000000001" x14ac:dyDescent="0.4">
      <c r="A31" s="5" t="s">
        <v>277</v>
      </c>
      <c r="B31" s="15">
        <f>INDEX($T$2:$AF$137,MATCH($B$26,$T$2:$T$137),4)</f>
        <v>3000</v>
      </c>
      <c r="C31" s="9" t="s">
        <v>15</v>
      </c>
      <c r="E31" s="48"/>
      <c r="K31" s="78" t="s">
        <v>314</v>
      </c>
      <c r="L31" s="79">
        <v>150</v>
      </c>
      <c r="M31" s="79">
        <v>25</v>
      </c>
      <c r="N31" s="80"/>
      <c r="O31" s="79">
        <v>162911</v>
      </c>
      <c r="P31" s="79">
        <v>695515</v>
      </c>
      <c r="Q31" s="79"/>
      <c r="R31" s="79">
        <v>400</v>
      </c>
      <c r="S31" s="78" t="s">
        <v>286</v>
      </c>
      <c r="T31" s="89" t="s">
        <v>502</v>
      </c>
      <c r="U31" s="9" t="s">
        <v>503</v>
      </c>
      <c r="V31" s="85">
        <v>7</v>
      </c>
      <c r="W31" s="86">
        <v>3000</v>
      </c>
      <c r="X31" s="85">
        <v>22.3</v>
      </c>
      <c r="Y31" s="85">
        <v>34</v>
      </c>
      <c r="Z31" s="86">
        <v>6000</v>
      </c>
      <c r="AA31" s="85">
        <v>66.8</v>
      </c>
      <c r="AB31" s="38">
        <v>103</v>
      </c>
      <c r="AC31" s="85">
        <v>29</v>
      </c>
      <c r="AD31" s="87">
        <v>35</v>
      </c>
      <c r="AE31" s="88">
        <v>75</v>
      </c>
      <c r="AF31" s="78" t="s">
        <v>489</v>
      </c>
      <c r="AI31" s="9" t="s">
        <v>170</v>
      </c>
      <c r="AJ31" s="9">
        <v>40</v>
      </c>
      <c r="AK31" s="9">
        <v>25</v>
      </c>
      <c r="AL31" s="16">
        <v>101.86</v>
      </c>
      <c r="AM31" s="9">
        <v>33</v>
      </c>
    </row>
    <row r="32" spans="1:39" ht="16.2" x14ac:dyDescent="0.3">
      <c r="A32" s="4" t="s">
        <v>169</v>
      </c>
      <c r="B32" s="15">
        <f>INDEX($T$2:$AF$137,MATCH($B$26,$T$2:$T$137),7)</f>
        <v>5000</v>
      </c>
      <c r="C32" s="9" t="s">
        <v>15</v>
      </c>
      <c r="E32" s="48"/>
      <c r="K32" s="78" t="s">
        <v>315</v>
      </c>
      <c r="L32" s="79">
        <v>150</v>
      </c>
      <c r="M32" s="79">
        <v>36</v>
      </c>
      <c r="N32" s="80"/>
      <c r="O32" s="79">
        <v>118053</v>
      </c>
      <c r="P32" s="79">
        <v>419193</v>
      </c>
      <c r="Q32" s="79"/>
      <c r="R32" s="79">
        <v>305</v>
      </c>
      <c r="S32" s="78" t="s">
        <v>286</v>
      </c>
      <c r="T32" s="89" t="s">
        <v>504</v>
      </c>
      <c r="U32" s="9" t="s">
        <v>505</v>
      </c>
      <c r="V32" s="85">
        <v>0.75</v>
      </c>
      <c r="W32" s="86">
        <v>3000</v>
      </c>
      <c r="X32" s="85">
        <v>2.4</v>
      </c>
      <c r="Y32" s="85">
        <v>5.6</v>
      </c>
      <c r="Z32" s="86">
        <v>6000</v>
      </c>
      <c r="AA32" s="85">
        <v>7.2</v>
      </c>
      <c r="AB32" s="38">
        <v>17</v>
      </c>
      <c r="AC32" s="85">
        <v>3.7</v>
      </c>
      <c r="AD32" s="87">
        <v>16</v>
      </c>
      <c r="AE32" s="88">
        <v>30</v>
      </c>
      <c r="AF32" s="78" t="s">
        <v>489</v>
      </c>
      <c r="AI32" s="9" t="s">
        <v>167</v>
      </c>
      <c r="AJ32" s="9">
        <v>40</v>
      </c>
      <c r="AK32" s="9">
        <v>30</v>
      </c>
      <c r="AL32" s="16">
        <v>101.86</v>
      </c>
      <c r="AM32" s="9">
        <v>38</v>
      </c>
    </row>
    <row r="33" spans="1:39" ht="16.2" x14ac:dyDescent="0.3">
      <c r="A33" s="4" t="s">
        <v>166</v>
      </c>
      <c r="B33" s="45">
        <f>INDEX($T$2:$AF$137,MATCH($B$26,$T$2:$T$137),6)</f>
        <v>9.5</v>
      </c>
      <c r="C33" s="9" t="s">
        <v>163</v>
      </c>
      <c r="K33" s="78" t="s">
        <v>316</v>
      </c>
      <c r="L33" s="79">
        <v>180</v>
      </c>
      <c r="M33" s="79">
        <v>30</v>
      </c>
      <c r="N33" s="80"/>
      <c r="O33" s="79">
        <v>200239</v>
      </c>
      <c r="P33" s="79">
        <v>925410</v>
      </c>
      <c r="Q33" s="79"/>
      <c r="R33" s="79">
        <v>515</v>
      </c>
      <c r="S33" s="78" t="s">
        <v>286</v>
      </c>
      <c r="T33" s="89" t="s">
        <v>506</v>
      </c>
      <c r="U33" s="9" t="s">
        <v>507</v>
      </c>
      <c r="V33" s="85">
        <v>9</v>
      </c>
      <c r="W33" s="86">
        <v>3000</v>
      </c>
      <c r="X33" s="85">
        <v>28.6</v>
      </c>
      <c r="Y33" s="85">
        <v>41</v>
      </c>
      <c r="Z33" s="86">
        <v>6000</v>
      </c>
      <c r="AA33" s="85">
        <v>85.8</v>
      </c>
      <c r="AB33" s="38">
        <v>134</v>
      </c>
      <c r="AC33" s="85">
        <v>36</v>
      </c>
      <c r="AD33" s="87">
        <v>35</v>
      </c>
      <c r="AE33" s="88">
        <v>75</v>
      </c>
      <c r="AF33" s="78" t="s">
        <v>489</v>
      </c>
      <c r="AI33" s="9" t="s">
        <v>165</v>
      </c>
      <c r="AJ33" s="9">
        <v>44</v>
      </c>
      <c r="AK33" s="9">
        <v>25</v>
      </c>
      <c r="AL33" s="16">
        <v>112.05</v>
      </c>
      <c r="AM33" s="9">
        <v>33</v>
      </c>
    </row>
    <row r="34" spans="1:39" ht="16.2" x14ac:dyDescent="0.3">
      <c r="A34" s="4" t="s">
        <v>164</v>
      </c>
      <c r="B34" s="45">
        <f>INDEX($T$2:$AF$137,MATCH($B$26,$T$2:$T$137),9)</f>
        <v>0</v>
      </c>
      <c r="C34" s="9" t="s">
        <v>163</v>
      </c>
      <c r="K34" s="78" t="s">
        <v>317</v>
      </c>
      <c r="L34" s="79">
        <v>210</v>
      </c>
      <c r="M34" s="79">
        <v>30</v>
      </c>
      <c r="N34" s="80"/>
      <c r="O34" s="79">
        <v>234245</v>
      </c>
      <c r="P34" s="79">
        <v>1160741</v>
      </c>
      <c r="Q34" s="79"/>
      <c r="R34" s="79">
        <v>550</v>
      </c>
      <c r="S34" s="78" t="s">
        <v>286</v>
      </c>
      <c r="T34" s="89" t="s">
        <v>508</v>
      </c>
      <c r="U34" s="9" t="s">
        <v>207</v>
      </c>
      <c r="V34" s="85">
        <v>0.4</v>
      </c>
      <c r="W34" s="86">
        <v>3000</v>
      </c>
      <c r="X34" s="85">
        <v>1.3</v>
      </c>
      <c r="Y34" s="85">
        <v>2.6</v>
      </c>
      <c r="Z34" s="86">
        <v>5000</v>
      </c>
      <c r="AA34" s="85">
        <v>3.8</v>
      </c>
      <c r="AB34" s="38">
        <v>7.8</v>
      </c>
      <c r="AC34" s="85">
        <v>1.9</v>
      </c>
      <c r="AD34" s="87">
        <v>14</v>
      </c>
      <c r="AE34" s="88">
        <v>26</v>
      </c>
      <c r="AF34" s="78" t="s">
        <v>489</v>
      </c>
      <c r="AI34" s="9" t="s">
        <v>162</v>
      </c>
      <c r="AJ34" s="9">
        <v>44</v>
      </c>
      <c r="AK34" s="9">
        <v>30</v>
      </c>
      <c r="AL34" s="16">
        <v>112.05</v>
      </c>
      <c r="AM34" s="9">
        <v>38</v>
      </c>
    </row>
    <row r="35" spans="1:39" ht="16.2" x14ac:dyDescent="0.3">
      <c r="A35" s="4" t="s">
        <v>161</v>
      </c>
      <c r="B35" s="15">
        <f>INDEX($T$2:$AF$137,MATCH($B$26,$T$2:$T$137),10)</f>
        <v>0</v>
      </c>
      <c r="C35" s="9" t="s">
        <v>18</v>
      </c>
      <c r="K35" s="78" t="s">
        <v>323</v>
      </c>
      <c r="L35" s="79">
        <v>50</v>
      </c>
      <c r="M35" s="79">
        <v>20</v>
      </c>
      <c r="N35" s="80">
        <v>6.35</v>
      </c>
      <c r="O35" s="79">
        <v>4560</v>
      </c>
      <c r="P35" s="79">
        <v>13230</v>
      </c>
      <c r="Q35" s="79">
        <v>149</v>
      </c>
      <c r="R35" s="79">
        <v>155</v>
      </c>
      <c r="S35" s="78" t="s">
        <v>43</v>
      </c>
      <c r="T35" s="89" t="s">
        <v>509</v>
      </c>
      <c r="U35" s="9" t="s">
        <v>510</v>
      </c>
      <c r="V35" s="85">
        <v>0.05</v>
      </c>
      <c r="W35" s="86">
        <v>3000</v>
      </c>
      <c r="X35" s="88">
        <v>0.16</v>
      </c>
      <c r="Y35" s="85">
        <v>0.9</v>
      </c>
      <c r="Z35" s="86">
        <v>6900</v>
      </c>
      <c r="AA35" s="88">
        <v>0.56000000000000005</v>
      </c>
      <c r="AB35" s="38">
        <v>3.2</v>
      </c>
      <c r="AC35" s="85">
        <v>0.54</v>
      </c>
      <c r="AD35" s="87">
        <v>8</v>
      </c>
      <c r="AE35" s="88">
        <v>21.5</v>
      </c>
      <c r="AF35" s="78" t="s">
        <v>489</v>
      </c>
      <c r="AI35" s="9" t="s">
        <v>159</v>
      </c>
      <c r="AJ35" s="9">
        <v>48</v>
      </c>
      <c r="AK35" s="9">
        <v>15</v>
      </c>
      <c r="AL35" s="16">
        <v>45.84</v>
      </c>
      <c r="AM35" s="9">
        <v>21</v>
      </c>
    </row>
    <row r="36" spans="1:39" ht="16.2" x14ac:dyDescent="0.3">
      <c r="A36" s="4" t="s">
        <v>24</v>
      </c>
      <c r="B36" s="15">
        <f>INDEX($T$2:$AF$137,MATCH($B$26,$T$2:$T$137),11)</f>
        <v>19</v>
      </c>
      <c r="C36" s="9" t="s">
        <v>19</v>
      </c>
      <c r="K36" s="78" t="s">
        <v>324</v>
      </c>
      <c r="L36" s="79">
        <v>50</v>
      </c>
      <c r="M36" s="79">
        <v>20</v>
      </c>
      <c r="N36" s="80">
        <v>6.35</v>
      </c>
      <c r="O36" s="79">
        <v>5580</v>
      </c>
      <c r="P36" s="79">
        <v>16710</v>
      </c>
      <c r="Q36" s="79">
        <v>185</v>
      </c>
      <c r="R36" s="79">
        <v>175</v>
      </c>
      <c r="S36" s="78" t="s">
        <v>43</v>
      </c>
      <c r="T36" s="89" t="s">
        <v>511</v>
      </c>
      <c r="U36" s="9" t="s">
        <v>510</v>
      </c>
      <c r="V36" s="85">
        <v>0.1</v>
      </c>
      <c r="W36" s="86">
        <v>3000</v>
      </c>
      <c r="X36" s="88">
        <v>0.32</v>
      </c>
      <c r="Y36" s="85">
        <v>0.7</v>
      </c>
      <c r="Z36" s="86">
        <v>6900</v>
      </c>
      <c r="AA36" s="88">
        <v>1.1000000000000001</v>
      </c>
      <c r="AB36" s="38">
        <v>2.5</v>
      </c>
      <c r="AC36" s="85">
        <v>0.74</v>
      </c>
      <c r="AD36" s="87">
        <v>8</v>
      </c>
      <c r="AE36" s="88">
        <v>21.5</v>
      </c>
      <c r="AF36" s="78" t="s">
        <v>489</v>
      </c>
      <c r="AI36" s="9" t="s">
        <v>157</v>
      </c>
      <c r="AJ36" s="9">
        <v>48</v>
      </c>
      <c r="AK36" s="9">
        <v>25</v>
      </c>
      <c r="AL36" s="16">
        <v>122.23</v>
      </c>
      <c r="AM36" s="9">
        <v>33</v>
      </c>
    </row>
    <row r="37" spans="1:39" ht="16.2" x14ac:dyDescent="0.3">
      <c r="A37" s="4" t="s">
        <v>23</v>
      </c>
      <c r="B37" s="15">
        <f>INDEX($T$2:$AF$137,MATCH($B$26,$T$2:$T$137),12)</f>
        <v>50</v>
      </c>
      <c r="C37" s="9" t="s">
        <v>19</v>
      </c>
      <c r="K37" s="78" t="s">
        <v>325</v>
      </c>
      <c r="L37" s="79">
        <v>16</v>
      </c>
      <c r="M37" s="79">
        <v>10</v>
      </c>
      <c r="N37" s="80">
        <v>3</v>
      </c>
      <c r="O37" s="79">
        <v>1172</v>
      </c>
      <c r="P37" s="79">
        <v>1255</v>
      </c>
      <c r="Q37" s="79"/>
      <c r="R37" s="79">
        <v>45</v>
      </c>
      <c r="S37" s="78" t="s">
        <v>318</v>
      </c>
      <c r="T37" s="89" t="s">
        <v>512</v>
      </c>
      <c r="U37" s="9" t="s">
        <v>513</v>
      </c>
      <c r="V37" s="85">
        <v>0.2</v>
      </c>
      <c r="W37" s="86">
        <v>3000</v>
      </c>
      <c r="X37" s="88">
        <v>0.64</v>
      </c>
      <c r="Y37" s="85">
        <v>1.3</v>
      </c>
      <c r="Z37" s="86">
        <v>6900</v>
      </c>
      <c r="AA37" s="88">
        <v>2.2000000000000002</v>
      </c>
      <c r="AB37" s="38">
        <v>4.5999999999999996</v>
      </c>
      <c r="AC37" s="85">
        <v>1.3</v>
      </c>
      <c r="AD37" s="87">
        <v>14</v>
      </c>
      <c r="AE37" s="88">
        <v>26</v>
      </c>
      <c r="AF37" s="78" t="s">
        <v>489</v>
      </c>
      <c r="AI37" s="9" t="s">
        <v>155</v>
      </c>
      <c r="AJ37" s="9">
        <v>48</v>
      </c>
      <c r="AK37" s="9">
        <v>30</v>
      </c>
      <c r="AL37" s="16">
        <v>122.23</v>
      </c>
      <c r="AM37" s="9">
        <v>38</v>
      </c>
    </row>
    <row r="38" spans="1:39" x14ac:dyDescent="0.3">
      <c r="K38" s="78" t="s">
        <v>326</v>
      </c>
      <c r="L38" s="79">
        <v>16</v>
      </c>
      <c r="M38" s="79">
        <v>16</v>
      </c>
      <c r="N38" s="80">
        <v>3</v>
      </c>
      <c r="O38" s="79">
        <v>1143</v>
      </c>
      <c r="P38" s="79">
        <v>1224</v>
      </c>
      <c r="Q38" s="79"/>
      <c r="R38" s="79">
        <v>61</v>
      </c>
      <c r="S38" s="78" t="s">
        <v>318</v>
      </c>
      <c r="T38" s="89" t="s">
        <v>514</v>
      </c>
      <c r="U38" s="9" t="s">
        <v>515</v>
      </c>
      <c r="V38" s="85">
        <v>0.4</v>
      </c>
      <c r="W38" s="86">
        <v>3000</v>
      </c>
      <c r="X38" s="88">
        <v>1.3</v>
      </c>
      <c r="Y38" s="85">
        <v>2.6</v>
      </c>
      <c r="Z38" s="86">
        <v>6900</v>
      </c>
      <c r="AA38" s="88">
        <v>4.5</v>
      </c>
      <c r="AB38" s="38">
        <v>9.1</v>
      </c>
      <c r="AC38" s="85">
        <v>1.8</v>
      </c>
      <c r="AD38" s="87">
        <v>14</v>
      </c>
      <c r="AE38" s="88">
        <v>26</v>
      </c>
      <c r="AF38" s="78" t="s">
        <v>489</v>
      </c>
      <c r="AI38" s="9" t="s">
        <v>153</v>
      </c>
      <c r="AJ38" s="9">
        <v>50</v>
      </c>
      <c r="AK38" s="9">
        <v>25</v>
      </c>
      <c r="AL38" s="16">
        <v>127.32</v>
      </c>
      <c r="AM38" s="9">
        <v>33</v>
      </c>
    </row>
    <row r="39" spans="1:39" ht="16.2" x14ac:dyDescent="0.3">
      <c r="A39" s="47" t="s">
        <v>152</v>
      </c>
      <c r="B39" s="46" t="s">
        <v>284</v>
      </c>
      <c r="K39" s="78" t="s">
        <v>327</v>
      </c>
      <c r="L39" s="79">
        <v>20</v>
      </c>
      <c r="M39" s="79">
        <v>5</v>
      </c>
      <c r="N39" s="80">
        <v>3</v>
      </c>
      <c r="O39" s="79">
        <v>1755</v>
      </c>
      <c r="P39" s="79">
        <v>2194</v>
      </c>
      <c r="Q39" s="79"/>
      <c r="R39" s="79">
        <v>40</v>
      </c>
      <c r="S39" s="78" t="s">
        <v>318</v>
      </c>
      <c r="T39" s="89" t="s">
        <v>516</v>
      </c>
      <c r="U39" s="9" t="s">
        <v>505</v>
      </c>
      <c r="V39" s="85">
        <v>0.75</v>
      </c>
      <c r="W39" s="86">
        <v>3000</v>
      </c>
      <c r="X39" s="88">
        <v>2.4</v>
      </c>
      <c r="Y39" s="85">
        <v>4.9000000000000004</v>
      </c>
      <c r="Z39" s="86">
        <v>6900</v>
      </c>
      <c r="AA39" s="88">
        <v>8.4</v>
      </c>
      <c r="AB39" s="38">
        <v>17.2</v>
      </c>
      <c r="AC39" s="85">
        <v>3.8</v>
      </c>
      <c r="AD39" s="87">
        <v>19</v>
      </c>
      <c r="AE39" s="88">
        <v>36</v>
      </c>
      <c r="AF39" s="78" t="s">
        <v>489</v>
      </c>
      <c r="AI39" s="9" t="s">
        <v>150</v>
      </c>
      <c r="AJ39" s="9">
        <v>50</v>
      </c>
      <c r="AK39" s="9">
        <v>30</v>
      </c>
      <c r="AL39" s="16">
        <v>127.32</v>
      </c>
      <c r="AM39" s="9">
        <v>38</v>
      </c>
    </row>
    <row r="40" spans="1:39" ht="18.600000000000001" x14ac:dyDescent="0.3">
      <c r="A40" s="4" t="s">
        <v>5</v>
      </c>
      <c r="B40" s="15">
        <f>INDEX($AI$2:$AM$54,MATCH($B$39,$AI$2:$AI$54),2)</f>
        <v>32</v>
      </c>
      <c r="K40" s="78" t="s">
        <v>328</v>
      </c>
      <c r="L40" s="79">
        <v>20</v>
      </c>
      <c r="M40" s="79">
        <v>10</v>
      </c>
      <c r="N40" s="80">
        <v>3</v>
      </c>
      <c r="O40" s="79">
        <v>1724</v>
      </c>
      <c r="P40" s="79">
        <v>2173</v>
      </c>
      <c r="Q40" s="79"/>
      <c r="R40" s="79">
        <v>60</v>
      </c>
      <c r="S40" s="78" t="s">
        <v>318</v>
      </c>
      <c r="T40" s="89" t="s">
        <v>517</v>
      </c>
      <c r="U40" s="9" t="s">
        <v>510</v>
      </c>
      <c r="V40" s="85">
        <v>0.05</v>
      </c>
      <c r="W40" s="86">
        <v>3000</v>
      </c>
      <c r="X40" s="88">
        <v>0.16</v>
      </c>
      <c r="Y40" s="85">
        <v>1</v>
      </c>
      <c r="Z40" s="86">
        <v>6900</v>
      </c>
      <c r="AA40" s="88">
        <v>0.48</v>
      </c>
      <c r="AB40" s="38">
        <v>3.1</v>
      </c>
      <c r="AC40" s="85">
        <v>0.54</v>
      </c>
      <c r="AD40" s="87">
        <v>8</v>
      </c>
      <c r="AE40" s="88">
        <v>21.5</v>
      </c>
      <c r="AF40" s="78" t="s">
        <v>489</v>
      </c>
      <c r="AI40" s="9" t="s">
        <v>148</v>
      </c>
      <c r="AJ40" s="9">
        <v>60</v>
      </c>
      <c r="AK40" s="9">
        <v>25</v>
      </c>
      <c r="AL40" s="16">
        <v>152.79</v>
      </c>
      <c r="AM40" s="9">
        <v>33</v>
      </c>
    </row>
    <row r="41" spans="1:39" ht="16.2" x14ac:dyDescent="0.3">
      <c r="A41" s="4" t="s">
        <v>132</v>
      </c>
      <c r="B41" s="15">
        <f>INDEX($AI$2:$AM$54,MATCH($B$39,$AI$2:$AI$54),3)</f>
        <v>25</v>
      </c>
      <c r="K41" s="78" t="s">
        <v>329</v>
      </c>
      <c r="L41" s="79">
        <v>20</v>
      </c>
      <c r="M41" s="79">
        <v>20</v>
      </c>
      <c r="N41" s="80">
        <v>3.5</v>
      </c>
      <c r="O41" s="79">
        <v>1633</v>
      </c>
      <c r="P41" s="79">
        <v>1918</v>
      </c>
      <c r="Q41" s="79"/>
      <c r="R41" s="79">
        <v>57</v>
      </c>
      <c r="S41" s="78" t="s">
        <v>318</v>
      </c>
      <c r="T41" s="89" t="s">
        <v>518</v>
      </c>
      <c r="U41" s="9" t="s">
        <v>510</v>
      </c>
      <c r="V41" s="85">
        <v>0.1</v>
      </c>
      <c r="W41" s="86">
        <v>3000</v>
      </c>
      <c r="X41" s="88">
        <v>0.32</v>
      </c>
      <c r="Y41" s="85">
        <v>0.8</v>
      </c>
      <c r="Z41" s="86">
        <v>6900</v>
      </c>
      <c r="AA41" s="88">
        <v>0.95</v>
      </c>
      <c r="AB41" s="38">
        <v>2.5</v>
      </c>
      <c r="AC41" s="85">
        <v>0.74</v>
      </c>
      <c r="AD41" s="87">
        <v>8</v>
      </c>
      <c r="AE41" s="88">
        <v>21.5</v>
      </c>
      <c r="AF41" s="78" t="s">
        <v>489</v>
      </c>
      <c r="AI41" s="9" t="s">
        <v>146</v>
      </c>
      <c r="AJ41" s="9">
        <v>60</v>
      </c>
      <c r="AK41" s="9">
        <v>30</v>
      </c>
      <c r="AL41" s="16">
        <v>152.79</v>
      </c>
      <c r="AM41" s="9">
        <v>38</v>
      </c>
    </row>
    <row r="42" spans="1:39" ht="16.2" x14ac:dyDescent="0.3">
      <c r="A42" s="4" t="s">
        <v>145</v>
      </c>
      <c r="B42" s="16">
        <f>INDEX($AI$2:$AM$54,MATCH($B$39,$AI$2:$AI$54),4)</f>
        <v>81.489999999999995</v>
      </c>
      <c r="C42" s="9" t="s">
        <v>19</v>
      </c>
      <c r="K42" s="78" t="s">
        <v>330</v>
      </c>
      <c r="L42" s="79">
        <v>25</v>
      </c>
      <c r="M42" s="79">
        <v>5</v>
      </c>
      <c r="N42" s="80">
        <v>3</v>
      </c>
      <c r="O42" s="79">
        <v>1949</v>
      </c>
      <c r="P42" s="79">
        <v>2776</v>
      </c>
      <c r="Q42" s="79"/>
      <c r="R42" s="79">
        <v>45</v>
      </c>
      <c r="S42" s="78" t="s">
        <v>318</v>
      </c>
      <c r="T42" s="89" t="s">
        <v>519</v>
      </c>
      <c r="U42" s="9" t="s">
        <v>513</v>
      </c>
      <c r="V42" s="85">
        <v>0.2</v>
      </c>
      <c r="W42" s="86">
        <v>3000</v>
      </c>
      <c r="X42" s="88">
        <v>0.64</v>
      </c>
      <c r="Y42" s="85">
        <v>1.4</v>
      </c>
      <c r="Z42" s="86">
        <v>6900</v>
      </c>
      <c r="AA42" s="88">
        <v>1.9</v>
      </c>
      <c r="AB42" s="38">
        <v>5.3</v>
      </c>
      <c r="AC42" s="85">
        <v>1.3</v>
      </c>
      <c r="AD42" s="87">
        <v>14</v>
      </c>
      <c r="AE42" s="88">
        <v>26</v>
      </c>
      <c r="AF42" s="78" t="s">
        <v>489</v>
      </c>
      <c r="AI42" s="9" t="s">
        <v>143</v>
      </c>
      <c r="AJ42" s="9">
        <v>24</v>
      </c>
      <c r="AK42" s="9">
        <v>33</v>
      </c>
      <c r="AL42" s="9">
        <v>61.12</v>
      </c>
      <c r="AM42" s="9">
        <v>33</v>
      </c>
    </row>
    <row r="43" spans="1:39" ht="16.2" x14ac:dyDescent="0.3">
      <c r="A43" s="4" t="s">
        <v>142</v>
      </c>
      <c r="B43" s="15">
        <f>INDEX($AI$2:$AM$54,MATCH($B$39,$AI$2:$AI$54),5)</f>
        <v>33</v>
      </c>
      <c r="C43" s="9" t="s">
        <v>19</v>
      </c>
      <c r="K43" s="78" t="s">
        <v>331</v>
      </c>
      <c r="L43" s="79">
        <v>25</v>
      </c>
      <c r="M43" s="79">
        <v>10</v>
      </c>
      <c r="N43" s="80">
        <v>3</v>
      </c>
      <c r="O43" s="79">
        <v>1918</v>
      </c>
      <c r="P43" s="79">
        <v>2755</v>
      </c>
      <c r="Q43" s="79"/>
      <c r="R43" s="79">
        <v>64</v>
      </c>
      <c r="S43" s="78" t="s">
        <v>318</v>
      </c>
      <c r="T43" s="89" t="s">
        <v>520</v>
      </c>
      <c r="U43" s="9" t="s">
        <v>515</v>
      </c>
      <c r="V43" s="85">
        <v>0.4</v>
      </c>
      <c r="W43" s="86">
        <v>3000</v>
      </c>
      <c r="X43" s="88">
        <v>1.3</v>
      </c>
      <c r="Y43" s="85">
        <v>2.6</v>
      </c>
      <c r="Z43" s="86">
        <v>6900</v>
      </c>
      <c r="AA43" s="88">
        <v>3.8</v>
      </c>
      <c r="AB43" s="38">
        <v>9</v>
      </c>
      <c r="AC43" s="85">
        <v>1.8</v>
      </c>
      <c r="AD43" s="87">
        <v>14</v>
      </c>
      <c r="AE43" s="88">
        <v>26</v>
      </c>
      <c r="AF43" s="78" t="s">
        <v>489</v>
      </c>
      <c r="AI43" s="9" t="s">
        <v>140</v>
      </c>
      <c r="AJ43" s="9">
        <v>30</v>
      </c>
      <c r="AK43" s="9">
        <v>32</v>
      </c>
      <c r="AL43" s="9">
        <v>75.010000000000005</v>
      </c>
      <c r="AM43" s="9">
        <v>33</v>
      </c>
    </row>
    <row r="44" spans="1:39" ht="16.2" x14ac:dyDescent="0.3">
      <c r="A44" s="4"/>
      <c r="B44" s="12"/>
      <c r="K44" s="78" t="s">
        <v>332</v>
      </c>
      <c r="L44" s="79">
        <v>25</v>
      </c>
      <c r="M44" s="79">
        <v>10</v>
      </c>
      <c r="N44" s="80">
        <v>3.5</v>
      </c>
      <c r="O44" s="79">
        <v>1235</v>
      </c>
      <c r="P44" s="79">
        <v>1541</v>
      </c>
      <c r="Q44" s="79"/>
      <c r="R44" s="79">
        <v>70</v>
      </c>
      <c r="S44" s="78" t="s">
        <v>318</v>
      </c>
      <c r="T44" s="89" t="s">
        <v>521</v>
      </c>
      <c r="U44" s="9" t="s">
        <v>505</v>
      </c>
      <c r="V44" s="85">
        <v>0.75</v>
      </c>
      <c r="W44" s="86">
        <v>3000</v>
      </c>
      <c r="X44" s="88">
        <v>2.4</v>
      </c>
      <c r="Y44" s="85">
        <v>6</v>
      </c>
      <c r="Z44" s="86">
        <v>6900</v>
      </c>
      <c r="AA44" s="88">
        <v>7.2</v>
      </c>
      <c r="AB44" s="38">
        <v>20</v>
      </c>
      <c r="AC44" s="85">
        <v>3.8</v>
      </c>
      <c r="AD44" s="87">
        <v>19</v>
      </c>
      <c r="AE44" s="88">
        <v>36</v>
      </c>
      <c r="AF44" s="78" t="s">
        <v>489</v>
      </c>
      <c r="AI44" s="9" t="s">
        <v>138</v>
      </c>
      <c r="AJ44" s="9">
        <v>48</v>
      </c>
      <c r="AK44" s="9">
        <v>33</v>
      </c>
      <c r="AL44" s="9">
        <v>122.23</v>
      </c>
      <c r="AM44" s="9">
        <v>33</v>
      </c>
    </row>
    <row r="45" spans="1:39" ht="16.2" x14ac:dyDescent="0.3">
      <c r="A45" s="47" t="s">
        <v>137</v>
      </c>
      <c r="B45" s="46" t="s">
        <v>285</v>
      </c>
      <c r="K45" s="78" t="s">
        <v>333</v>
      </c>
      <c r="L45" s="79">
        <v>32</v>
      </c>
      <c r="M45" s="79">
        <v>5</v>
      </c>
      <c r="N45" s="80">
        <v>3.5</v>
      </c>
      <c r="O45" s="79">
        <v>2643</v>
      </c>
      <c r="P45" s="79">
        <v>4082</v>
      </c>
      <c r="Q45" s="79"/>
      <c r="R45" s="79">
        <v>48</v>
      </c>
      <c r="S45" s="78" t="s">
        <v>318</v>
      </c>
      <c r="T45" s="89" t="s">
        <v>522</v>
      </c>
      <c r="U45" s="9" t="s">
        <v>492</v>
      </c>
      <c r="V45" s="85">
        <v>1</v>
      </c>
      <c r="W45" s="86">
        <v>2000</v>
      </c>
      <c r="X45" s="88">
        <v>4.8</v>
      </c>
      <c r="Y45" s="85">
        <v>5.6</v>
      </c>
      <c r="Z45" s="86">
        <v>3000</v>
      </c>
      <c r="AA45" s="88">
        <v>14.3</v>
      </c>
      <c r="AB45" s="38">
        <v>17</v>
      </c>
      <c r="AC45" s="85">
        <v>6.2</v>
      </c>
      <c r="AD45" s="87">
        <v>24</v>
      </c>
      <c r="AE45" s="88">
        <v>50</v>
      </c>
      <c r="AF45" s="78" t="s">
        <v>489</v>
      </c>
      <c r="AI45" s="9" t="s">
        <v>135</v>
      </c>
      <c r="AJ45" s="9">
        <v>60</v>
      </c>
      <c r="AK45" s="9">
        <v>32</v>
      </c>
      <c r="AL45" s="9">
        <v>151.41</v>
      </c>
      <c r="AM45" s="9">
        <v>33</v>
      </c>
    </row>
    <row r="46" spans="1:39" ht="18.600000000000001" x14ac:dyDescent="0.3">
      <c r="A46" s="4" t="s">
        <v>6</v>
      </c>
      <c r="B46" s="12">
        <f>INDEX($AI$2:$AM$54,MATCH($B$45,$AI$2:$AI$54),2)</f>
        <v>48</v>
      </c>
      <c r="K46" s="78" t="s">
        <v>334</v>
      </c>
      <c r="L46" s="79">
        <v>32</v>
      </c>
      <c r="M46" s="79">
        <v>10</v>
      </c>
      <c r="N46" s="80">
        <v>3.9689999999999999</v>
      </c>
      <c r="O46" s="79">
        <v>3878</v>
      </c>
      <c r="P46" s="79">
        <v>5949</v>
      </c>
      <c r="Q46" s="79"/>
      <c r="R46" s="79">
        <v>77</v>
      </c>
      <c r="S46" s="78" t="s">
        <v>318</v>
      </c>
      <c r="T46" s="89" t="s">
        <v>523</v>
      </c>
      <c r="U46" s="9" t="s">
        <v>494</v>
      </c>
      <c r="V46" s="85">
        <v>1.2</v>
      </c>
      <c r="W46" s="86">
        <v>1000</v>
      </c>
      <c r="X46" s="88">
        <v>11.5</v>
      </c>
      <c r="Y46" s="85">
        <v>7.1</v>
      </c>
      <c r="Z46" s="86">
        <v>1500</v>
      </c>
      <c r="AA46" s="88">
        <v>34.4</v>
      </c>
      <c r="AB46" s="38">
        <v>22.7</v>
      </c>
      <c r="AC46" s="85">
        <v>17</v>
      </c>
      <c r="AD46" s="87">
        <v>35</v>
      </c>
      <c r="AE46" s="88">
        <v>75</v>
      </c>
      <c r="AF46" s="78" t="s">
        <v>489</v>
      </c>
      <c r="AI46" s="9" t="s">
        <v>133</v>
      </c>
      <c r="AJ46" s="9">
        <v>30</v>
      </c>
      <c r="AK46" s="9">
        <v>16</v>
      </c>
      <c r="AL46" s="9">
        <v>76.400000000000006</v>
      </c>
      <c r="AM46" s="9">
        <v>33</v>
      </c>
    </row>
    <row r="47" spans="1:39" ht="16.2" x14ac:dyDescent="0.3">
      <c r="A47" s="4" t="s">
        <v>132</v>
      </c>
      <c r="B47" s="12">
        <f>INDEX($AI$2:$AM$54,MATCH($B$45,$AI$2:$AI$54),3)</f>
        <v>25</v>
      </c>
      <c r="K47" s="78" t="s">
        <v>335</v>
      </c>
      <c r="L47" s="79">
        <v>32</v>
      </c>
      <c r="M47" s="79">
        <v>20</v>
      </c>
      <c r="N47" s="80">
        <v>3.9689999999999999</v>
      </c>
      <c r="O47" s="79">
        <v>1653</v>
      </c>
      <c r="P47" s="79">
        <v>2224</v>
      </c>
      <c r="Q47" s="79"/>
      <c r="R47" s="79">
        <v>64</v>
      </c>
      <c r="S47" s="78" t="s">
        <v>318</v>
      </c>
      <c r="T47" s="89" t="s">
        <v>524</v>
      </c>
      <c r="U47" s="9" t="s">
        <v>494</v>
      </c>
      <c r="V47" s="85">
        <v>1.5</v>
      </c>
      <c r="W47" s="86">
        <v>2000</v>
      </c>
      <c r="X47" s="85">
        <v>7.2</v>
      </c>
      <c r="Y47" s="85">
        <v>9.4</v>
      </c>
      <c r="Z47" s="86">
        <v>3000</v>
      </c>
      <c r="AA47" s="85">
        <v>21.5</v>
      </c>
      <c r="AB47" s="38">
        <v>29</v>
      </c>
      <c r="AC47" s="85">
        <v>7.3</v>
      </c>
      <c r="AD47" s="87">
        <v>24</v>
      </c>
      <c r="AE47" s="88">
        <v>50</v>
      </c>
      <c r="AF47" s="78" t="s">
        <v>489</v>
      </c>
      <c r="AI47" s="9" t="s">
        <v>130</v>
      </c>
      <c r="AJ47" s="9">
        <v>34</v>
      </c>
      <c r="AK47" s="9">
        <v>16</v>
      </c>
      <c r="AL47" s="9">
        <v>86.6</v>
      </c>
      <c r="AM47" s="9">
        <v>28.1</v>
      </c>
    </row>
    <row r="48" spans="1:39" ht="16.2" x14ac:dyDescent="0.3">
      <c r="A48" s="4" t="s">
        <v>129</v>
      </c>
      <c r="B48" s="12">
        <f>INDEX($AI$2:$AM$54,MATCH($B$45,$AI$2:$AI$54),4)</f>
        <v>122.23</v>
      </c>
      <c r="C48" s="9" t="s">
        <v>19</v>
      </c>
      <c r="K48" s="78" t="s">
        <v>336</v>
      </c>
      <c r="L48" s="79">
        <v>32</v>
      </c>
      <c r="M48" s="79">
        <v>32</v>
      </c>
      <c r="N48" s="80">
        <v>3.9689999999999999</v>
      </c>
      <c r="O48" s="79">
        <v>1643</v>
      </c>
      <c r="P48" s="79">
        <v>2245</v>
      </c>
      <c r="Q48" s="79"/>
      <c r="R48" s="79">
        <v>88</v>
      </c>
      <c r="S48" s="78" t="s">
        <v>318</v>
      </c>
      <c r="T48" s="89" t="s">
        <v>525</v>
      </c>
      <c r="U48" s="9" t="s">
        <v>494</v>
      </c>
      <c r="V48" s="85">
        <v>2</v>
      </c>
      <c r="W48" s="86">
        <v>1000</v>
      </c>
      <c r="X48" s="85">
        <v>19.100000000000001</v>
      </c>
      <c r="Y48" s="85">
        <v>9.4</v>
      </c>
      <c r="Z48" s="86">
        <v>1500</v>
      </c>
      <c r="AA48" s="85">
        <v>57.3</v>
      </c>
      <c r="AB48" s="38">
        <v>30.1</v>
      </c>
      <c r="AC48" s="85">
        <v>22</v>
      </c>
      <c r="AD48" s="87">
        <v>35</v>
      </c>
      <c r="AE48" s="88">
        <v>75</v>
      </c>
      <c r="AF48" s="78" t="s">
        <v>489</v>
      </c>
      <c r="AI48" s="9" t="s">
        <v>127</v>
      </c>
      <c r="AJ48" s="9">
        <v>36</v>
      </c>
      <c r="AK48" s="9">
        <v>16</v>
      </c>
      <c r="AL48" s="9">
        <v>91.7</v>
      </c>
      <c r="AM48" s="9">
        <v>33</v>
      </c>
    </row>
    <row r="49" spans="1:39" ht="16.2" x14ac:dyDescent="0.3">
      <c r="A49" s="4" t="s">
        <v>126</v>
      </c>
      <c r="B49" s="12">
        <f>INDEX($AI$2:$AM$54,MATCH($B$45,$AI$2:$AI$54),5)</f>
        <v>33</v>
      </c>
      <c r="C49" s="9" t="s">
        <v>19</v>
      </c>
      <c r="K49" s="78" t="s">
        <v>337</v>
      </c>
      <c r="L49" s="79">
        <v>40</v>
      </c>
      <c r="M49" s="79">
        <v>5</v>
      </c>
      <c r="N49" s="80">
        <v>3.5</v>
      </c>
      <c r="O49" s="79">
        <v>3561</v>
      </c>
      <c r="P49" s="79">
        <v>6541</v>
      </c>
      <c r="Q49" s="79"/>
      <c r="R49" s="79">
        <v>54</v>
      </c>
      <c r="S49" s="78" t="s">
        <v>318</v>
      </c>
      <c r="T49" s="89" t="s">
        <v>526</v>
      </c>
      <c r="U49" s="9" t="s">
        <v>494</v>
      </c>
      <c r="V49" s="85">
        <v>2</v>
      </c>
      <c r="W49" s="86">
        <v>2000</v>
      </c>
      <c r="X49" s="85">
        <v>9.5</v>
      </c>
      <c r="Y49" s="85">
        <v>9.6</v>
      </c>
      <c r="Z49" s="86">
        <v>3000</v>
      </c>
      <c r="AA49" s="85">
        <v>28.6</v>
      </c>
      <c r="AB49" s="38">
        <v>31</v>
      </c>
      <c r="AC49" s="85">
        <v>11</v>
      </c>
      <c r="AD49" s="87">
        <v>35</v>
      </c>
      <c r="AE49" s="88">
        <v>75</v>
      </c>
      <c r="AF49" s="78" t="s">
        <v>485</v>
      </c>
      <c r="AI49" s="9" t="s">
        <v>124</v>
      </c>
      <c r="AJ49" s="9">
        <v>38</v>
      </c>
      <c r="AK49" s="9">
        <v>16</v>
      </c>
      <c r="AL49" s="9">
        <v>96.8</v>
      </c>
      <c r="AM49" s="9">
        <v>33</v>
      </c>
    </row>
    <row r="50" spans="1:39" ht="16.2" x14ac:dyDescent="0.3">
      <c r="A50" s="4"/>
      <c r="B50" s="12"/>
      <c r="K50" s="78" t="s">
        <v>338</v>
      </c>
      <c r="L50" s="79">
        <v>40</v>
      </c>
      <c r="M50" s="79">
        <v>10</v>
      </c>
      <c r="N50" s="80">
        <v>6</v>
      </c>
      <c r="O50" s="79">
        <v>6122</v>
      </c>
      <c r="P50" s="79">
        <v>8816</v>
      </c>
      <c r="Q50" s="79"/>
      <c r="R50" s="79">
        <v>70</v>
      </c>
      <c r="S50" s="78" t="s">
        <v>318</v>
      </c>
      <c r="T50" s="89" t="s">
        <v>527</v>
      </c>
      <c r="U50" s="9" t="s">
        <v>497</v>
      </c>
      <c r="V50" s="85">
        <v>3</v>
      </c>
      <c r="W50" s="86">
        <v>1000</v>
      </c>
      <c r="X50" s="85">
        <v>28.6</v>
      </c>
      <c r="Y50" s="85">
        <v>13</v>
      </c>
      <c r="Z50" s="86">
        <v>1500</v>
      </c>
      <c r="AA50" s="85">
        <v>85.9</v>
      </c>
      <c r="AB50" s="38">
        <v>41.6</v>
      </c>
      <c r="AC50" s="85">
        <v>26</v>
      </c>
      <c r="AD50" s="87">
        <v>35</v>
      </c>
      <c r="AE50" s="88">
        <v>75</v>
      </c>
      <c r="AF50" s="78" t="s">
        <v>485</v>
      </c>
      <c r="AI50" s="9" t="s">
        <v>122</v>
      </c>
      <c r="AJ50" s="9">
        <v>44</v>
      </c>
      <c r="AK50" s="9">
        <v>16</v>
      </c>
      <c r="AL50" s="9">
        <v>112</v>
      </c>
      <c r="AM50" s="9">
        <v>33</v>
      </c>
    </row>
    <row r="51" spans="1:39" ht="16.2" x14ac:dyDescent="0.3">
      <c r="A51" s="5" t="s">
        <v>281</v>
      </c>
      <c r="B51" s="69">
        <f>+B46/B40</f>
        <v>1.5</v>
      </c>
      <c r="D51" s="12"/>
      <c r="K51" s="78" t="s">
        <v>339</v>
      </c>
      <c r="L51" s="79">
        <v>40</v>
      </c>
      <c r="M51" s="79">
        <v>10</v>
      </c>
      <c r="N51" s="80">
        <v>6</v>
      </c>
      <c r="O51" s="79">
        <v>8827</v>
      </c>
      <c r="P51" s="79">
        <v>13490</v>
      </c>
      <c r="Q51" s="79"/>
      <c r="R51" s="79">
        <v>90</v>
      </c>
      <c r="S51" s="78" t="s">
        <v>318</v>
      </c>
      <c r="T51" s="89" t="s">
        <v>528</v>
      </c>
      <c r="U51" s="9" t="s">
        <v>497</v>
      </c>
      <c r="V51" s="85">
        <v>3.5</v>
      </c>
      <c r="W51" s="86">
        <v>2000</v>
      </c>
      <c r="X51" s="85">
        <v>16.7</v>
      </c>
      <c r="Y51" s="85">
        <v>14</v>
      </c>
      <c r="Z51" s="86">
        <v>3000</v>
      </c>
      <c r="AA51" s="85">
        <v>50.1</v>
      </c>
      <c r="AB51" s="38">
        <v>45</v>
      </c>
      <c r="AC51" s="85">
        <v>16</v>
      </c>
      <c r="AD51" s="87">
        <v>35</v>
      </c>
      <c r="AE51" s="88">
        <v>75</v>
      </c>
      <c r="AF51" s="78" t="s">
        <v>485</v>
      </c>
      <c r="AI51" s="9" t="s">
        <v>120</v>
      </c>
      <c r="AJ51" s="9">
        <v>50</v>
      </c>
      <c r="AK51" s="9">
        <v>16</v>
      </c>
      <c r="AL51" s="9">
        <v>127.3</v>
      </c>
      <c r="AM51" s="9">
        <v>33</v>
      </c>
    </row>
    <row r="52" spans="1:39" x14ac:dyDescent="0.3">
      <c r="K52" s="78" t="s">
        <v>340</v>
      </c>
      <c r="L52" s="79">
        <v>40</v>
      </c>
      <c r="M52" s="79">
        <v>20</v>
      </c>
      <c r="N52" s="80">
        <v>6</v>
      </c>
      <c r="O52" s="79">
        <v>4643</v>
      </c>
      <c r="P52" s="79">
        <v>6408</v>
      </c>
      <c r="Q52" s="79"/>
      <c r="R52" s="79">
        <v>88</v>
      </c>
      <c r="S52" s="78" t="s">
        <v>318</v>
      </c>
      <c r="T52" s="89" t="s">
        <v>529</v>
      </c>
      <c r="U52" s="9" t="s">
        <v>499</v>
      </c>
      <c r="V52" s="85">
        <v>4.2</v>
      </c>
      <c r="W52" s="86">
        <v>1000</v>
      </c>
      <c r="X52" s="85">
        <v>40.1</v>
      </c>
      <c r="Y52" s="85">
        <v>19</v>
      </c>
      <c r="Z52" s="86">
        <v>1500</v>
      </c>
      <c r="AA52" s="85">
        <v>120</v>
      </c>
      <c r="AB52" s="38">
        <v>60.8</v>
      </c>
      <c r="AC52" s="85">
        <v>33</v>
      </c>
      <c r="AD52" s="87">
        <v>35</v>
      </c>
      <c r="AE52" s="88">
        <v>75</v>
      </c>
      <c r="AF52" s="78" t="s">
        <v>485</v>
      </c>
      <c r="AI52" s="9" t="s">
        <v>118</v>
      </c>
      <c r="AJ52" s="9">
        <v>52</v>
      </c>
      <c r="AK52" s="9">
        <v>16</v>
      </c>
      <c r="AL52" s="9">
        <v>132.4</v>
      </c>
      <c r="AM52" s="9">
        <v>33</v>
      </c>
    </row>
    <row r="53" spans="1:39" ht="17.399999999999999" x14ac:dyDescent="0.3">
      <c r="A53" s="13" t="s">
        <v>27</v>
      </c>
      <c r="B53" s="14">
        <v>9810</v>
      </c>
      <c r="C53" s="17" t="s">
        <v>26</v>
      </c>
      <c r="D53" s="9">
        <f>+B53/1000</f>
        <v>9.81</v>
      </c>
      <c r="E53" s="17" t="s">
        <v>25</v>
      </c>
      <c r="K53" s="78" t="s">
        <v>341</v>
      </c>
      <c r="L53" s="79">
        <v>40</v>
      </c>
      <c r="M53" s="79">
        <v>40</v>
      </c>
      <c r="N53" s="80">
        <v>6</v>
      </c>
      <c r="O53" s="79">
        <v>3122</v>
      </c>
      <c r="P53" s="79">
        <v>4112</v>
      </c>
      <c r="Q53" s="79"/>
      <c r="R53" s="79">
        <v>102</v>
      </c>
      <c r="S53" s="78" t="s">
        <v>318</v>
      </c>
      <c r="T53" s="89" t="s">
        <v>530</v>
      </c>
      <c r="U53" s="9" t="s">
        <v>499</v>
      </c>
      <c r="V53" s="85">
        <v>5</v>
      </c>
      <c r="W53" s="86">
        <v>2000</v>
      </c>
      <c r="X53" s="85">
        <v>23.9</v>
      </c>
      <c r="Y53" s="85">
        <v>22</v>
      </c>
      <c r="Z53" s="86">
        <v>3000</v>
      </c>
      <c r="AA53" s="85">
        <v>71.599999999999994</v>
      </c>
      <c r="AB53" s="38">
        <v>70</v>
      </c>
      <c r="AC53" s="85">
        <v>20</v>
      </c>
      <c r="AD53" s="87">
        <v>35</v>
      </c>
      <c r="AE53" s="88">
        <v>75</v>
      </c>
      <c r="AF53" s="78" t="s">
        <v>485</v>
      </c>
    </row>
    <row r="54" spans="1:39" ht="16.2" x14ac:dyDescent="0.3">
      <c r="A54" s="4" t="s">
        <v>117</v>
      </c>
      <c r="B54" s="16">
        <f>+B3/B9</f>
        <v>20</v>
      </c>
      <c r="C54" s="9" t="s">
        <v>2</v>
      </c>
      <c r="K54" s="78" t="s">
        <v>342</v>
      </c>
      <c r="L54" s="79">
        <v>50</v>
      </c>
      <c r="M54" s="79">
        <v>5</v>
      </c>
      <c r="N54" s="80">
        <v>3.5</v>
      </c>
      <c r="O54" s="79">
        <v>3918</v>
      </c>
      <c r="P54" s="79">
        <v>8296</v>
      </c>
      <c r="Q54" s="79"/>
      <c r="R54" s="79">
        <v>54</v>
      </c>
      <c r="S54" s="78" t="s">
        <v>318</v>
      </c>
      <c r="T54" s="89" t="s">
        <v>531</v>
      </c>
      <c r="U54" s="9" t="s">
        <v>501</v>
      </c>
      <c r="V54" s="85">
        <v>0.5</v>
      </c>
      <c r="W54" s="86">
        <v>1000</v>
      </c>
      <c r="X54" s="85">
        <v>4.8</v>
      </c>
      <c r="Y54" s="85">
        <v>2.8</v>
      </c>
      <c r="Z54" s="86">
        <v>1500</v>
      </c>
      <c r="AA54" s="85">
        <v>14.3</v>
      </c>
      <c r="AB54" s="38">
        <v>9</v>
      </c>
      <c r="AC54" s="85">
        <v>8.1999999999999993</v>
      </c>
      <c r="AD54" s="87">
        <v>24</v>
      </c>
      <c r="AE54" s="88">
        <v>50</v>
      </c>
      <c r="AF54" s="78" t="s">
        <v>485</v>
      </c>
      <c r="AI54" s="9" t="s">
        <v>115</v>
      </c>
      <c r="AJ54" s="9">
        <v>56</v>
      </c>
      <c r="AK54" s="9">
        <v>16</v>
      </c>
      <c r="AL54" s="9">
        <v>142.6</v>
      </c>
      <c r="AM54" s="9">
        <v>33</v>
      </c>
    </row>
    <row r="55" spans="1:39" ht="19.8" x14ac:dyDescent="0.3">
      <c r="A55" s="4" t="s">
        <v>114</v>
      </c>
      <c r="B55" s="14">
        <f>+B31*B51*B9</f>
        <v>45000</v>
      </c>
      <c r="C55" s="9" t="s">
        <v>111</v>
      </c>
      <c r="D55" s="45">
        <f>+B55/1000</f>
        <v>45</v>
      </c>
      <c r="E55" s="9" t="s">
        <v>110</v>
      </c>
      <c r="F55" s="16">
        <f>+ROUND(B55/60,2)</f>
        <v>750</v>
      </c>
      <c r="G55" s="9" t="s">
        <v>109</v>
      </c>
      <c r="K55" s="78" t="s">
        <v>343</v>
      </c>
      <c r="L55" s="79">
        <v>50</v>
      </c>
      <c r="M55" s="79">
        <v>10</v>
      </c>
      <c r="N55" s="80">
        <v>6</v>
      </c>
      <c r="O55" s="79">
        <v>9755</v>
      </c>
      <c r="P55" s="79">
        <v>16990</v>
      </c>
      <c r="Q55" s="79"/>
      <c r="R55" s="79">
        <v>90</v>
      </c>
      <c r="S55" s="78" t="s">
        <v>318</v>
      </c>
      <c r="T55" s="89" t="s">
        <v>532</v>
      </c>
      <c r="U55" s="9" t="s">
        <v>501</v>
      </c>
      <c r="V55" s="85">
        <v>0.5</v>
      </c>
      <c r="W55" s="86">
        <v>2000</v>
      </c>
      <c r="X55" s="85">
        <v>2.4</v>
      </c>
      <c r="Y55" s="85">
        <v>2.9</v>
      </c>
      <c r="Z55" s="86">
        <v>3000</v>
      </c>
      <c r="AA55" s="85">
        <v>7.2</v>
      </c>
      <c r="AB55" s="38">
        <v>9</v>
      </c>
      <c r="AC55" s="85">
        <v>4.8</v>
      </c>
      <c r="AD55" s="87">
        <v>24</v>
      </c>
      <c r="AE55" s="88">
        <v>50</v>
      </c>
      <c r="AF55" s="78" t="s">
        <v>485</v>
      </c>
    </row>
    <row r="56" spans="1:39" ht="19.8" x14ac:dyDescent="0.3">
      <c r="A56" s="4" t="s">
        <v>112</v>
      </c>
      <c r="B56" s="14">
        <f>+$B$9*B32*$B$51</f>
        <v>75000</v>
      </c>
      <c r="C56" s="9" t="s">
        <v>111</v>
      </c>
      <c r="D56" s="45">
        <f>+B56/1000</f>
        <v>75</v>
      </c>
      <c r="E56" s="9" t="s">
        <v>110</v>
      </c>
      <c r="F56" s="16">
        <f>+ROUND(B56/60,2)</f>
        <v>1250</v>
      </c>
      <c r="G56" s="9" t="s">
        <v>109</v>
      </c>
      <c r="H56" s="16">
        <f>+ROUND(D56/60,2)</f>
        <v>1.25</v>
      </c>
      <c r="I56" s="9" t="s">
        <v>108</v>
      </c>
      <c r="K56" s="78" t="s">
        <v>344</v>
      </c>
      <c r="L56" s="79">
        <v>50</v>
      </c>
      <c r="M56" s="79">
        <v>16</v>
      </c>
      <c r="N56" s="80">
        <v>6</v>
      </c>
      <c r="O56" s="79">
        <v>9724</v>
      </c>
      <c r="P56" s="79">
        <v>16939</v>
      </c>
      <c r="Q56" s="79"/>
      <c r="R56" s="79">
        <v>128</v>
      </c>
      <c r="S56" s="78" t="s">
        <v>318</v>
      </c>
      <c r="T56" s="89" t="s">
        <v>533</v>
      </c>
      <c r="U56" s="9" t="s">
        <v>503</v>
      </c>
      <c r="V56" s="85">
        <v>7</v>
      </c>
      <c r="W56" s="86">
        <v>2000</v>
      </c>
      <c r="X56" s="85">
        <v>33.4</v>
      </c>
      <c r="Y56" s="85">
        <v>26</v>
      </c>
      <c r="Z56" s="86">
        <v>3000</v>
      </c>
      <c r="AA56" s="85">
        <v>100</v>
      </c>
      <c r="AB56" s="38">
        <v>83</v>
      </c>
      <c r="AC56" s="85">
        <v>27</v>
      </c>
      <c r="AD56" s="87">
        <v>35</v>
      </c>
      <c r="AE56" s="88">
        <v>75</v>
      </c>
      <c r="AF56" s="78" t="s">
        <v>485</v>
      </c>
    </row>
    <row r="57" spans="1:39" x14ac:dyDescent="0.3">
      <c r="K57" s="78" t="s">
        <v>345</v>
      </c>
      <c r="L57" s="79">
        <v>50</v>
      </c>
      <c r="M57" s="79">
        <v>20</v>
      </c>
      <c r="N57" s="80">
        <v>6.5</v>
      </c>
      <c r="O57" s="79">
        <v>5867</v>
      </c>
      <c r="P57" s="79">
        <v>8969</v>
      </c>
      <c r="Q57" s="79"/>
      <c r="R57" s="79">
        <v>92</v>
      </c>
      <c r="S57" s="78" t="s">
        <v>318</v>
      </c>
      <c r="T57" s="89" t="s">
        <v>534</v>
      </c>
      <c r="U57" s="9" t="s">
        <v>492</v>
      </c>
      <c r="V57" s="85">
        <v>0.85</v>
      </c>
      <c r="W57" s="86">
        <v>1000</v>
      </c>
      <c r="X57" s="85">
        <v>8.1</v>
      </c>
      <c r="Y57" s="85">
        <v>5.2</v>
      </c>
      <c r="Z57" s="86">
        <v>1500</v>
      </c>
      <c r="AA57" s="85">
        <v>24.4</v>
      </c>
      <c r="AB57" s="38">
        <v>16.600000000000001</v>
      </c>
      <c r="AC57" s="85">
        <v>9.3000000000000007</v>
      </c>
      <c r="AD57" s="87">
        <v>24</v>
      </c>
      <c r="AE57" s="88">
        <v>50</v>
      </c>
      <c r="AF57" s="78" t="s">
        <v>485</v>
      </c>
    </row>
    <row r="58" spans="1:39" ht="16.2" x14ac:dyDescent="0.3">
      <c r="A58" s="4" t="s">
        <v>105</v>
      </c>
      <c r="B58" s="70">
        <f>+F24*1000/(B31/B51)</f>
        <v>6</v>
      </c>
      <c r="C58" s="9" t="s">
        <v>19</v>
      </c>
      <c r="D58" s="4" t="s">
        <v>104</v>
      </c>
      <c r="E58" s="14">
        <f>+B9</f>
        <v>10</v>
      </c>
      <c r="F58" s="9" t="s">
        <v>19</v>
      </c>
      <c r="K58" s="78" t="s">
        <v>346</v>
      </c>
      <c r="L58" s="79">
        <v>50</v>
      </c>
      <c r="M58" s="79">
        <v>40</v>
      </c>
      <c r="N58" s="80">
        <v>6.5</v>
      </c>
      <c r="O58" s="79">
        <v>3929</v>
      </c>
      <c r="P58" s="79">
        <v>5694</v>
      </c>
      <c r="Q58" s="79"/>
      <c r="R58" s="79">
        <v>109</v>
      </c>
      <c r="S58" s="78" t="s">
        <v>318</v>
      </c>
      <c r="T58" s="89" t="s">
        <v>204</v>
      </c>
      <c r="V58" s="85">
        <v>1.6</v>
      </c>
      <c r="W58" s="86">
        <v>1000</v>
      </c>
      <c r="X58" s="85">
        <v>15.6</v>
      </c>
      <c r="Y58" s="85">
        <v>2.9</v>
      </c>
      <c r="Z58" s="86">
        <v>7000</v>
      </c>
      <c r="AA58" s="85">
        <v>42.1</v>
      </c>
      <c r="AB58" s="38">
        <v>0</v>
      </c>
      <c r="AC58" s="85">
        <v>21</v>
      </c>
      <c r="AD58" s="87">
        <v>24</v>
      </c>
      <c r="AE58" s="88">
        <v>50</v>
      </c>
      <c r="AF58" s="78" t="s">
        <v>485</v>
      </c>
    </row>
    <row r="59" spans="1:39" s="10" customFormat="1" ht="16.2" x14ac:dyDescent="0.3">
      <c r="B59" s="9"/>
      <c r="C59" s="9"/>
      <c r="D59" s="9"/>
      <c r="K59" s="78" t="s">
        <v>347</v>
      </c>
      <c r="L59" s="79">
        <v>63</v>
      </c>
      <c r="M59" s="79">
        <v>10</v>
      </c>
      <c r="N59" s="80">
        <v>6</v>
      </c>
      <c r="O59" s="79">
        <v>10878</v>
      </c>
      <c r="P59" s="79">
        <v>21867</v>
      </c>
      <c r="Q59" s="79"/>
      <c r="R59" s="79">
        <v>90</v>
      </c>
      <c r="S59" s="78" t="s">
        <v>318</v>
      </c>
      <c r="T59" s="89" t="s">
        <v>201</v>
      </c>
      <c r="U59" s="9"/>
      <c r="V59" s="85">
        <v>2.5</v>
      </c>
      <c r="W59" s="86">
        <v>1500</v>
      </c>
      <c r="X59" s="85">
        <v>15.6</v>
      </c>
      <c r="Y59" s="85">
        <v>4.3</v>
      </c>
      <c r="Z59" s="86">
        <v>7000</v>
      </c>
      <c r="AA59" s="85">
        <v>42.1</v>
      </c>
      <c r="AB59" s="38">
        <v>0</v>
      </c>
      <c r="AC59" s="85">
        <v>21</v>
      </c>
      <c r="AD59" s="87">
        <v>24</v>
      </c>
      <c r="AE59" s="88">
        <v>50</v>
      </c>
      <c r="AF59" s="78" t="s">
        <v>485</v>
      </c>
    </row>
    <row r="60" spans="1:39" x14ac:dyDescent="0.3">
      <c r="K60" s="78" t="s">
        <v>348</v>
      </c>
      <c r="L60" s="79">
        <v>63</v>
      </c>
      <c r="M60" s="79">
        <v>20</v>
      </c>
      <c r="N60" s="80">
        <v>6.5</v>
      </c>
      <c r="O60" s="79">
        <v>6510</v>
      </c>
      <c r="P60" s="79">
        <v>11439</v>
      </c>
      <c r="Q60" s="79"/>
      <c r="R60" s="79">
        <v>92</v>
      </c>
      <c r="S60" s="78" t="s">
        <v>318</v>
      </c>
      <c r="T60" s="89" t="s">
        <v>199</v>
      </c>
      <c r="V60" s="85">
        <v>3.3</v>
      </c>
      <c r="W60" s="86">
        <v>2000</v>
      </c>
      <c r="X60" s="85">
        <v>15.6</v>
      </c>
      <c r="Y60" s="85">
        <v>5.7</v>
      </c>
      <c r="Z60" s="86">
        <v>7000</v>
      </c>
      <c r="AA60" s="85">
        <v>42.1</v>
      </c>
      <c r="AB60" s="38">
        <v>0</v>
      </c>
      <c r="AC60" s="85">
        <v>21</v>
      </c>
      <c r="AD60" s="87">
        <v>24</v>
      </c>
      <c r="AE60" s="88">
        <v>50</v>
      </c>
      <c r="AF60" s="78" t="s">
        <v>485</v>
      </c>
    </row>
    <row r="61" spans="1:39" x14ac:dyDescent="0.3">
      <c r="K61" s="78" t="s">
        <v>349</v>
      </c>
      <c r="L61" s="79">
        <v>25</v>
      </c>
      <c r="M61" s="79">
        <v>5</v>
      </c>
      <c r="N61" s="80">
        <v>4</v>
      </c>
      <c r="O61" s="79">
        <v>1250</v>
      </c>
      <c r="P61" s="79">
        <v>3070</v>
      </c>
      <c r="Q61" s="79">
        <v>67</v>
      </c>
      <c r="R61" s="79">
        <v>76</v>
      </c>
      <c r="S61" s="78" t="s">
        <v>43</v>
      </c>
      <c r="T61" s="89" t="s">
        <v>195</v>
      </c>
      <c r="V61" s="85">
        <v>4.9000000000000004</v>
      </c>
      <c r="W61" s="86">
        <v>3000</v>
      </c>
      <c r="X61" s="85">
        <v>15.6</v>
      </c>
      <c r="Y61" s="85">
        <v>8.6</v>
      </c>
      <c r="Z61" s="86">
        <v>7000</v>
      </c>
      <c r="AA61" s="85">
        <v>42.1</v>
      </c>
      <c r="AB61" s="38">
        <v>0</v>
      </c>
      <c r="AC61" s="85">
        <v>21</v>
      </c>
      <c r="AD61" s="87">
        <v>24</v>
      </c>
      <c r="AE61" s="88">
        <v>50</v>
      </c>
      <c r="AF61" s="78" t="s">
        <v>485</v>
      </c>
    </row>
    <row r="62" spans="1:39" ht="16.2" x14ac:dyDescent="0.3">
      <c r="A62" s="44" t="s">
        <v>99</v>
      </c>
      <c r="B62" s="67">
        <f>+D24/$B$9</f>
        <v>20</v>
      </c>
      <c r="C62" s="9" t="s">
        <v>96</v>
      </c>
      <c r="D62" s="43">
        <f>+B62*60</f>
        <v>1200</v>
      </c>
      <c r="E62" s="9" t="s">
        <v>15</v>
      </c>
      <c r="K62" s="78" t="s">
        <v>350</v>
      </c>
      <c r="L62" s="79">
        <v>25</v>
      </c>
      <c r="M62" s="79">
        <v>6</v>
      </c>
      <c r="N62" s="80">
        <v>3.9689999999999999</v>
      </c>
      <c r="O62" s="79">
        <v>1275</v>
      </c>
      <c r="P62" s="79">
        <v>2740</v>
      </c>
      <c r="Q62" s="79">
        <v>52</v>
      </c>
      <c r="R62" s="79">
        <v>77</v>
      </c>
      <c r="S62" s="78" t="s">
        <v>43</v>
      </c>
      <c r="T62" s="89" t="s">
        <v>191</v>
      </c>
      <c r="V62" s="85">
        <v>2.5</v>
      </c>
      <c r="W62" s="86">
        <v>1000</v>
      </c>
      <c r="X62" s="85">
        <v>24</v>
      </c>
      <c r="Y62" s="85">
        <v>4.3</v>
      </c>
      <c r="Z62" s="86">
        <v>7000</v>
      </c>
      <c r="AA62" s="85">
        <v>64.8</v>
      </c>
      <c r="AB62" s="38">
        <v>0</v>
      </c>
      <c r="AC62" s="85">
        <v>24</v>
      </c>
      <c r="AD62" s="87">
        <v>24</v>
      </c>
      <c r="AE62" s="88">
        <v>50</v>
      </c>
      <c r="AF62" s="78" t="s">
        <v>485</v>
      </c>
    </row>
    <row r="63" spans="1:39" ht="16.2" x14ac:dyDescent="0.3">
      <c r="A63" s="42" t="s">
        <v>97</v>
      </c>
      <c r="B63" s="68">
        <f>+B62*B51</f>
        <v>30</v>
      </c>
      <c r="C63" s="9" t="s">
        <v>96</v>
      </c>
      <c r="D63" s="41">
        <f>+B63*60</f>
        <v>1800</v>
      </c>
      <c r="E63" s="9" t="s">
        <v>15</v>
      </c>
      <c r="K63" s="78" t="s">
        <v>351</v>
      </c>
      <c r="L63" s="79">
        <v>25</v>
      </c>
      <c r="M63" s="79">
        <v>8</v>
      </c>
      <c r="N63" s="80">
        <v>3.9689999999999999</v>
      </c>
      <c r="O63" s="79">
        <v>1275</v>
      </c>
      <c r="P63" s="79">
        <v>2740</v>
      </c>
      <c r="Q63" s="79">
        <v>52</v>
      </c>
      <c r="R63" s="79">
        <v>85</v>
      </c>
      <c r="S63" s="78" t="s">
        <v>43</v>
      </c>
      <c r="T63" s="89" t="s">
        <v>188</v>
      </c>
      <c r="V63" s="85">
        <v>3.8</v>
      </c>
      <c r="W63" s="86">
        <v>1500</v>
      </c>
      <c r="X63" s="85">
        <v>24</v>
      </c>
      <c r="Y63" s="85">
        <v>6.5</v>
      </c>
      <c r="Z63" s="86">
        <v>7000</v>
      </c>
      <c r="AA63" s="85">
        <v>64.8</v>
      </c>
      <c r="AB63" s="38">
        <v>0</v>
      </c>
      <c r="AC63" s="85">
        <v>24</v>
      </c>
      <c r="AD63" s="87">
        <v>24</v>
      </c>
      <c r="AE63" s="88">
        <v>50</v>
      </c>
      <c r="AF63" s="78" t="s">
        <v>485</v>
      </c>
    </row>
    <row r="64" spans="1:39" x14ac:dyDescent="0.3">
      <c r="K64" s="78" t="s">
        <v>352</v>
      </c>
      <c r="L64" s="79">
        <v>25</v>
      </c>
      <c r="M64" s="79">
        <v>10</v>
      </c>
      <c r="N64" s="80">
        <v>4.7619999999999996</v>
      </c>
      <c r="O64" s="79">
        <v>1140</v>
      </c>
      <c r="P64" s="79">
        <v>2140</v>
      </c>
      <c r="Q64" s="79">
        <v>36</v>
      </c>
      <c r="R64" s="79">
        <v>88</v>
      </c>
      <c r="S64" s="78" t="s">
        <v>43</v>
      </c>
      <c r="T64" s="89" t="s">
        <v>186</v>
      </c>
      <c r="V64" s="85">
        <v>5</v>
      </c>
      <c r="W64" s="86">
        <v>2000</v>
      </c>
      <c r="X64" s="85">
        <v>24</v>
      </c>
      <c r="Y64" s="85">
        <v>8.6999999999999993</v>
      </c>
      <c r="Z64" s="86">
        <v>7000</v>
      </c>
      <c r="AA64" s="85">
        <v>64.8</v>
      </c>
      <c r="AB64" s="38">
        <v>0</v>
      </c>
      <c r="AC64" s="85">
        <v>24</v>
      </c>
      <c r="AD64" s="87">
        <v>24</v>
      </c>
      <c r="AE64" s="88">
        <v>50</v>
      </c>
      <c r="AF64" s="78" t="s">
        <v>485</v>
      </c>
    </row>
    <row r="65" spans="1:32" ht="16.2" x14ac:dyDescent="0.3">
      <c r="A65" s="4" t="s">
        <v>93</v>
      </c>
      <c r="B65" s="15">
        <v>10</v>
      </c>
      <c r="C65" s="9" t="s">
        <v>38</v>
      </c>
      <c r="K65" s="78" t="s">
        <v>353</v>
      </c>
      <c r="L65" s="79">
        <v>25</v>
      </c>
      <c r="M65" s="79">
        <v>10</v>
      </c>
      <c r="N65" s="80">
        <v>4.7619999999999996</v>
      </c>
      <c r="O65" s="79">
        <v>1610</v>
      </c>
      <c r="P65" s="79">
        <v>3210</v>
      </c>
      <c r="Q65" s="79">
        <v>53</v>
      </c>
      <c r="R65" s="79">
        <v>102</v>
      </c>
      <c r="S65" s="78" t="s">
        <v>43</v>
      </c>
      <c r="T65" s="89" t="s">
        <v>183</v>
      </c>
      <c r="V65" s="85">
        <v>7.5</v>
      </c>
      <c r="W65" s="86">
        <v>3000</v>
      </c>
      <c r="X65" s="85">
        <v>24</v>
      </c>
      <c r="Y65" s="85">
        <v>13</v>
      </c>
      <c r="Z65" s="86">
        <v>7000</v>
      </c>
      <c r="AA65" s="85">
        <v>64.8</v>
      </c>
      <c r="AB65" s="38">
        <v>0</v>
      </c>
      <c r="AC65" s="85">
        <v>24</v>
      </c>
      <c r="AD65" s="87">
        <v>24</v>
      </c>
      <c r="AE65" s="88">
        <v>50</v>
      </c>
      <c r="AF65" s="78" t="s">
        <v>485</v>
      </c>
    </row>
    <row r="66" spans="1:32" ht="16.2" x14ac:dyDescent="0.3">
      <c r="A66" s="4" t="s">
        <v>91</v>
      </c>
      <c r="B66" s="15">
        <v>250</v>
      </c>
      <c r="C66" s="9" t="s">
        <v>90</v>
      </c>
      <c r="K66" s="78" t="s">
        <v>354</v>
      </c>
      <c r="L66" s="79">
        <v>28</v>
      </c>
      <c r="M66" s="79">
        <v>6</v>
      </c>
      <c r="N66" s="80">
        <v>3.1749999999999998</v>
      </c>
      <c r="O66" s="79">
        <v>1030</v>
      </c>
      <c r="P66" s="79">
        <v>2630</v>
      </c>
      <c r="Q66" s="79">
        <v>56</v>
      </c>
      <c r="R66" s="79">
        <v>69</v>
      </c>
      <c r="S66" s="78" t="s">
        <v>43</v>
      </c>
      <c r="T66" s="89" t="s">
        <v>180</v>
      </c>
      <c r="V66" s="85">
        <v>3.4</v>
      </c>
      <c r="W66" s="86">
        <v>1000</v>
      </c>
      <c r="X66" s="85">
        <v>32</v>
      </c>
      <c r="Y66" s="85">
        <v>5.9</v>
      </c>
      <c r="Z66" s="86">
        <v>7000</v>
      </c>
      <c r="AA66" s="85">
        <v>86.4</v>
      </c>
      <c r="AB66" s="38">
        <v>0</v>
      </c>
      <c r="AC66" s="85">
        <v>27</v>
      </c>
      <c r="AD66" s="87">
        <v>24</v>
      </c>
      <c r="AE66" s="88">
        <v>50</v>
      </c>
      <c r="AF66" s="78" t="s">
        <v>485</v>
      </c>
    </row>
    <row r="67" spans="1:32" ht="16.2" x14ac:dyDescent="0.3">
      <c r="A67" s="4" t="s">
        <v>88</v>
      </c>
      <c r="B67" s="15">
        <v>2</v>
      </c>
      <c r="C67" s="9" t="s">
        <v>87</v>
      </c>
      <c r="K67" s="78" t="s">
        <v>355</v>
      </c>
      <c r="L67" s="79">
        <v>28</v>
      </c>
      <c r="M67" s="79">
        <v>10</v>
      </c>
      <c r="N67" s="80">
        <v>3.1749999999999998</v>
      </c>
      <c r="O67" s="79">
        <v>730</v>
      </c>
      <c r="P67" s="79">
        <v>1750</v>
      </c>
      <c r="Q67" s="79">
        <v>38</v>
      </c>
      <c r="R67" s="79">
        <v>77</v>
      </c>
      <c r="S67" s="78" t="s">
        <v>43</v>
      </c>
      <c r="T67" s="89" t="s">
        <v>177</v>
      </c>
      <c r="V67" s="85">
        <v>5</v>
      </c>
      <c r="W67" s="86">
        <v>1500</v>
      </c>
      <c r="X67" s="85">
        <v>32</v>
      </c>
      <c r="Y67" s="85">
        <v>8.8000000000000007</v>
      </c>
      <c r="Z67" s="86">
        <v>7000</v>
      </c>
      <c r="AA67" s="85">
        <v>86.4</v>
      </c>
      <c r="AB67" s="38">
        <v>0</v>
      </c>
      <c r="AC67" s="85">
        <v>27</v>
      </c>
      <c r="AD67" s="87">
        <v>24</v>
      </c>
      <c r="AE67" s="88">
        <v>50</v>
      </c>
      <c r="AF67" s="78" t="s">
        <v>485</v>
      </c>
    </row>
    <row r="68" spans="1:32" ht="16.8" thickBot="1" x14ac:dyDescent="0.35">
      <c r="A68" s="4" t="s">
        <v>85</v>
      </c>
      <c r="B68" s="77">
        <v>0.7</v>
      </c>
      <c r="K68" s="78" t="s">
        <v>356</v>
      </c>
      <c r="L68" s="79">
        <v>32</v>
      </c>
      <c r="M68" s="79">
        <v>6</v>
      </c>
      <c r="N68" s="80">
        <v>3.9689999999999999</v>
      </c>
      <c r="O68" s="79">
        <v>1500</v>
      </c>
      <c r="P68" s="79">
        <v>3750</v>
      </c>
      <c r="Q68" s="79">
        <v>65</v>
      </c>
      <c r="R68" s="79">
        <v>77</v>
      </c>
      <c r="S68" s="78" t="s">
        <v>43</v>
      </c>
      <c r="T68" s="89" t="s">
        <v>175</v>
      </c>
      <c r="V68" s="85">
        <v>6.7</v>
      </c>
      <c r="W68" s="86">
        <v>2000</v>
      </c>
      <c r="X68" s="85">
        <v>32</v>
      </c>
      <c r="Y68" s="85">
        <v>11.7</v>
      </c>
      <c r="Z68" s="86">
        <v>7000</v>
      </c>
      <c r="AA68" s="85">
        <v>86.4</v>
      </c>
      <c r="AB68" s="38">
        <v>0</v>
      </c>
      <c r="AC68" s="85">
        <v>27</v>
      </c>
      <c r="AD68" s="87">
        <v>24</v>
      </c>
      <c r="AE68" s="88">
        <v>50</v>
      </c>
      <c r="AF68" s="78" t="s">
        <v>485</v>
      </c>
    </row>
    <row r="69" spans="1:32" ht="20.399999999999999" thickBot="1" x14ac:dyDescent="0.35">
      <c r="A69" s="75" t="s">
        <v>283</v>
      </c>
      <c r="B69" s="40">
        <f>+B65*B66*B67*B68</f>
        <v>3500</v>
      </c>
      <c r="C69" s="9" t="s">
        <v>38</v>
      </c>
      <c r="E69" s="11"/>
      <c r="F69" s="39"/>
      <c r="G69" s="11"/>
      <c r="K69" s="78" t="s">
        <v>357</v>
      </c>
      <c r="L69" s="79">
        <v>32</v>
      </c>
      <c r="M69" s="79">
        <v>6</v>
      </c>
      <c r="N69" s="80">
        <v>3.9689999999999999</v>
      </c>
      <c r="O69" s="79">
        <v>1920</v>
      </c>
      <c r="P69" s="79">
        <v>5000</v>
      </c>
      <c r="Q69" s="79">
        <v>86</v>
      </c>
      <c r="R69" s="79">
        <v>90</v>
      </c>
      <c r="S69" s="78" t="s">
        <v>43</v>
      </c>
      <c r="T69" s="89" t="s">
        <v>172</v>
      </c>
      <c r="V69" s="85">
        <v>10.1</v>
      </c>
      <c r="W69" s="86">
        <v>3000</v>
      </c>
      <c r="X69" s="85">
        <v>32</v>
      </c>
      <c r="Y69" s="85">
        <v>17.600000000000001</v>
      </c>
      <c r="Z69" s="86">
        <v>7000</v>
      </c>
      <c r="AA69" s="85">
        <v>86.4</v>
      </c>
      <c r="AB69" s="38">
        <v>0</v>
      </c>
      <c r="AC69" s="85">
        <v>27</v>
      </c>
      <c r="AD69" s="87">
        <v>24</v>
      </c>
      <c r="AE69" s="88">
        <v>50</v>
      </c>
      <c r="AF69" s="78" t="s">
        <v>485</v>
      </c>
    </row>
    <row r="70" spans="1:32" x14ac:dyDescent="0.3">
      <c r="K70" s="78" t="s">
        <v>358</v>
      </c>
      <c r="L70" s="79">
        <v>32</v>
      </c>
      <c r="M70" s="79">
        <v>10</v>
      </c>
      <c r="N70" s="80">
        <v>6.35</v>
      </c>
      <c r="O70" s="79">
        <v>2605</v>
      </c>
      <c r="P70" s="79">
        <v>5310</v>
      </c>
      <c r="Q70" s="79">
        <v>67</v>
      </c>
      <c r="R70" s="79">
        <v>120</v>
      </c>
      <c r="S70" s="78" t="s">
        <v>319</v>
      </c>
      <c r="T70" s="89" t="s">
        <v>168</v>
      </c>
      <c r="V70" s="85">
        <v>6.3</v>
      </c>
      <c r="W70" s="86">
        <v>1500</v>
      </c>
      <c r="X70" s="85">
        <v>40</v>
      </c>
      <c r="Y70" s="85">
        <v>11.2</v>
      </c>
      <c r="Z70" s="86">
        <v>7000</v>
      </c>
      <c r="AA70" s="85">
        <v>108</v>
      </c>
      <c r="AB70" s="38">
        <v>0</v>
      </c>
      <c r="AC70" s="85">
        <v>30</v>
      </c>
      <c r="AD70" s="87">
        <v>24</v>
      </c>
      <c r="AE70" s="88">
        <v>50</v>
      </c>
      <c r="AF70" s="78" t="s">
        <v>485</v>
      </c>
    </row>
    <row r="71" spans="1:32" ht="16.2" x14ac:dyDescent="0.3">
      <c r="A71" s="4" t="s">
        <v>81</v>
      </c>
      <c r="K71" s="78" t="s">
        <v>359</v>
      </c>
      <c r="L71" s="79">
        <v>32</v>
      </c>
      <c r="M71" s="79">
        <v>10</v>
      </c>
      <c r="N71" s="80">
        <v>6.35</v>
      </c>
      <c r="O71" s="79">
        <v>2605</v>
      </c>
      <c r="P71" s="79">
        <v>5310</v>
      </c>
      <c r="Q71" s="79">
        <v>67</v>
      </c>
      <c r="R71" s="79">
        <v>124</v>
      </c>
      <c r="S71" s="78" t="s">
        <v>319</v>
      </c>
      <c r="T71" s="89" t="s">
        <v>535</v>
      </c>
      <c r="V71" s="85">
        <v>12.6</v>
      </c>
      <c r="W71" s="86">
        <v>3000</v>
      </c>
      <c r="X71" s="85">
        <v>40</v>
      </c>
      <c r="Y71" s="85">
        <v>22.4</v>
      </c>
      <c r="Z71" s="86">
        <v>7000</v>
      </c>
      <c r="AA71" s="85">
        <v>108</v>
      </c>
      <c r="AB71" s="38">
        <v>0</v>
      </c>
      <c r="AC71" s="85">
        <v>30</v>
      </c>
      <c r="AD71" s="87">
        <v>24</v>
      </c>
      <c r="AE71" s="88">
        <v>50</v>
      </c>
      <c r="AF71" s="78" t="s">
        <v>485</v>
      </c>
    </row>
    <row r="72" spans="1:32" ht="16.2" x14ac:dyDescent="0.3">
      <c r="A72" s="33" t="s">
        <v>282</v>
      </c>
      <c r="B72" s="33" t="s">
        <v>79</v>
      </c>
      <c r="C72" s="33" t="s">
        <v>78</v>
      </c>
      <c r="D72" s="33" t="s">
        <v>77</v>
      </c>
      <c r="E72" s="33" t="s">
        <v>76</v>
      </c>
      <c r="F72" s="33" t="s">
        <v>75</v>
      </c>
      <c r="G72" s="33" t="s">
        <v>74</v>
      </c>
      <c r="K72" s="78" t="s">
        <v>360</v>
      </c>
      <c r="L72" s="79">
        <v>40</v>
      </c>
      <c r="M72" s="79">
        <v>5</v>
      </c>
      <c r="N72" s="80">
        <v>3.1749999999999998</v>
      </c>
      <c r="O72" s="79">
        <v>2230</v>
      </c>
      <c r="P72" s="79">
        <v>7940</v>
      </c>
      <c r="Q72" s="79">
        <v>147</v>
      </c>
      <c r="R72" s="79">
        <v>101</v>
      </c>
      <c r="S72" s="78" t="s">
        <v>319</v>
      </c>
      <c r="T72" s="89" t="s">
        <v>536</v>
      </c>
      <c r="V72" s="85">
        <v>14.25</v>
      </c>
      <c r="W72" s="86">
        <v>3000</v>
      </c>
      <c r="X72" s="85">
        <v>45</v>
      </c>
      <c r="Y72" s="85">
        <v>27</v>
      </c>
      <c r="Z72" s="86">
        <v>4000</v>
      </c>
      <c r="AA72" s="88">
        <v>121.5</v>
      </c>
      <c r="AB72" s="38">
        <v>0</v>
      </c>
      <c r="AC72" s="85">
        <v>40</v>
      </c>
      <c r="AD72" s="87">
        <v>42</v>
      </c>
      <c r="AE72" s="88">
        <v>80</v>
      </c>
      <c r="AF72" s="78" t="s">
        <v>485</v>
      </c>
    </row>
    <row r="73" spans="1:32" ht="16.2" x14ac:dyDescent="0.3">
      <c r="A73" s="33" t="s">
        <v>73</v>
      </c>
      <c r="B73" s="37">
        <f>+B74/2</f>
        <v>6</v>
      </c>
      <c r="C73" s="36">
        <f>+C74/2</f>
        <v>600</v>
      </c>
      <c r="D73" s="74">
        <f>+B2*D53*(SIN(B4*PI()/180)+COS(B4*PI()/180)*B5)+B2*D17</f>
        <v>5886</v>
      </c>
      <c r="E73" s="35">
        <f t="shared" ref="E73:E79" si="0">+F73/$F$80*100</f>
        <v>1.6666666666666667</v>
      </c>
      <c r="F73" s="32">
        <f t="shared" ref="F73:F80" si="1">+G73/60</f>
        <v>0.1</v>
      </c>
      <c r="G73" s="32">
        <v>6</v>
      </c>
      <c r="H73" s="34" t="s">
        <v>73</v>
      </c>
      <c r="K73" s="78" t="s">
        <v>361</v>
      </c>
      <c r="L73" s="79">
        <v>40</v>
      </c>
      <c r="M73" s="79">
        <v>20</v>
      </c>
      <c r="N73" s="80">
        <v>6.35</v>
      </c>
      <c r="O73" s="79">
        <v>3010</v>
      </c>
      <c r="P73" s="79">
        <v>7100</v>
      </c>
      <c r="Q73" s="79">
        <v>82</v>
      </c>
      <c r="R73" s="79">
        <v>123</v>
      </c>
      <c r="S73" s="78" t="s">
        <v>319</v>
      </c>
      <c r="T73" s="89" t="s">
        <v>160</v>
      </c>
      <c r="V73" s="85">
        <v>8.3000000000000007</v>
      </c>
      <c r="W73" s="86">
        <v>1500</v>
      </c>
      <c r="X73" s="85">
        <v>52.2</v>
      </c>
      <c r="Y73" s="85">
        <v>15.8</v>
      </c>
      <c r="Z73" s="86">
        <v>4000</v>
      </c>
      <c r="AA73" s="88">
        <v>140.9</v>
      </c>
      <c r="AB73" s="38">
        <v>0</v>
      </c>
      <c r="AC73" s="85">
        <v>50</v>
      </c>
      <c r="AD73" s="87">
        <v>42</v>
      </c>
      <c r="AE73" s="88">
        <v>80</v>
      </c>
      <c r="AF73" s="78" t="s">
        <v>485</v>
      </c>
    </row>
    <row r="74" spans="1:32" ht="16.2" x14ac:dyDescent="0.3">
      <c r="A74" s="33" t="s">
        <v>72</v>
      </c>
      <c r="B74" s="37">
        <f>+F24</f>
        <v>12</v>
      </c>
      <c r="C74" s="36">
        <f>+D62</f>
        <v>1200</v>
      </c>
      <c r="D74" s="74">
        <f>+B2*D53*(SIN(B4*PI()/180)+COS(B4*PI()/180)*B5)</f>
        <v>4905</v>
      </c>
      <c r="E74" s="35">
        <f t="shared" si="0"/>
        <v>16.666666666666664</v>
      </c>
      <c r="F74" s="32">
        <f t="shared" si="1"/>
        <v>1</v>
      </c>
      <c r="G74" s="32">
        <v>60</v>
      </c>
      <c r="H74" s="34" t="s">
        <v>72</v>
      </c>
      <c r="K74" s="78" t="s">
        <v>362</v>
      </c>
      <c r="L74" s="79">
        <v>45</v>
      </c>
      <c r="M74" s="79">
        <v>10</v>
      </c>
      <c r="N74" s="80">
        <v>6.35</v>
      </c>
      <c r="O74" s="79">
        <v>3850</v>
      </c>
      <c r="P74" s="79">
        <v>9470</v>
      </c>
      <c r="Q74" s="79">
        <v>107</v>
      </c>
      <c r="R74" s="79">
        <v>143</v>
      </c>
      <c r="S74" s="78" t="s">
        <v>43</v>
      </c>
      <c r="T74" s="89" t="s">
        <v>537</v>
      </c>
      <c r="V74" s="85">
        <v>16.5</v>
      </c>
      <c r="W74" s="86">
        <v>3000</v>
      </c>
      <c r="X74" s="85">
        <v>52.2</v>
      </c>
      <c r="Y74" s="85">
        <v>31.5</v>
      </c>
      <c r="Z74" s="86">
        <v>4000</v>
      </c>
      <c r="AA74" s="88">
        <v>140.9</v>
      </c>
      <c r="AB74" s="38">
        <v>0</v>
      </c>
      <c r="AC74" s="85">
        <v>50</v>
      </c>
      <c r="AD74" s="87">
        <v>42</v>
      </c>
      <c r="AE74" s="88">
        <v>80</v>
      </c>
      <c r="AF74" s="78" t="s">
        <v>485</v>
      </c>
    </row>
    <row r="75" spans="1:32" ht="16.2" x14ac:dyDescent="0.3">
      <c r="A75" s="33" t="s">
        <v>71</v>
      </c>
      <c r="B75" s="37">
        <f>+B73</f>
        <v>6</v>
      </c>
      <c r="C75" s="36">
        <f>+C74/2</f>
        <v>600</v>
      </c>
      <c r="D75" s="74">
        <f>+B2*D53*(SIN(B4*PI()/180)+COS(B4*PI()/180)*B5)-B2*D17</f>
        <v>3924</v>
      </c>
      <c r="E75" s="35">
        <f t="shared" si="0"/>
        <v>8.3333333333333321</v>
      </c>
      <c r="F75" s="32">
        <f t="shared" si="1"/>
        <v>0.5</v>
      </c>
      <c r="G75" s="32">
        <v>30</v>
      </c>
      <c r="H75" s="34" t="s">
        <v>71</v>
      </c>
      <c r="K75" s="78" t="s">
        <v>363</v>
      </c>
      <c r="L75" s="79">
        <v>45</v>
      </c>
      <c r="M75" s="79">
        <v>12</v>
      </c>
      <c r="N75" s="80">
        <v>6.35</v>
      </c>
      <c r="O75" s="79">
        <v>3850</v>
      </c>
      <c r="P75" s="79">
        <v>9470</v>
      </c>
      <c r="Q75" s="79">
        <v>107</v>
      </c>
      <c r="R75" s="79">
        <v>160</v>
      </c>
      <c r="S75" s="78" t="s">
        <v>43</v>
      </c>
      <c r="T75" s="89" t="s">
        <v>158</v>
      </c>
      <c r="V75" s="85">
        <v>11.3</v>
      </c>
      <c r="W75" s="86">
        <v>1500</v>
      </c>
      <c r="X75" s="85">
        <v>71.3</v>
      </c>
      <c r="Y75" s="85">
        <v>21</v>
      </c>
      <c r="Z75" s="86">
        <v>4000</v>
      </c>
      <c r="AA75" s="88">
        <v>192.4</v>
      </c>
      <c r="AB75" s="38">
        <v>0</v>
      </c>
      <c r="AC75" s="85">
        <v>60</v>
      </c>
      <c r="AD75" s="87">
        <v>42</v>
      </c>
      <c r="AE75" s="88">
        <v>80</v>
      </c>
      <c r="AF75" s="78" t="s">
        <v>485</v>
      </c>
    </row>
    <row r="76" spans="1:32" ht="16.2" x14ac:dyDescent="0.3">
      <c r="A76" s="33" t="s">
        <v>70</v>
      </c>
      <c r="B76" s="37">
        <f>+B77/2</f>
        <v>6</v>
      </c>
      <c r="C76" s="36">
        <f>+C77/2</f>
        <v>600</v>
      </c>
      <c r="D76" s="74">
        <f>+B2*D53*(SIN(B4*PI()/180)-COS(B4*PI()/180)*B5)+B2*D17</f>
        <v>5886</v>
      </c>
      <c r="E76" s="35">
        <f t="shared" si="0"/>
        <v>1.6666666666666667</v>
      </c>
      <c r="F76" s="32">
        <f t="shared" si="1"/>
        <v>0.1</v>
      </c>
      <c r="G76" s="32">
        <v>6</v>
      </c>
      <c r="H76" s="34" t="s">
        <v>70</v>
      </c>
      <c r="K76" s="78" t="s">
        <v>364</v>
      </c>
      <c r="L76" s="79">
        <v>50</v>
      </c>
      <c r="M76" s="79">
        <v>10</v>
      </c>
      <c r="N76" s="80">
        <v>6.35</v>
      </c>
      <c r="O76" s="79">
        <v>3430</v>
      </c>
      <c r="P76" s="79">
        <v>9300</v>
      </c>
      <c r="Q76" s="79">
        <v>99</v>
      </c>
      <c r="R76" s="79">
        <v>123</v>
      </c>
      <c r="S76" s="78" t="s">
        <v>43</v>
      </c>
      <c r="T76" s="89" t="s">
        <v>538</v>
      </c>
      <c r="V76" s="85">
        <v>22.5</v>
      </c>
      <c r="W76" s="86">
        <v>3000</v>
      </c>
      <c r="X76" s="85">
        <v>71.3</v>
      </c>
      <c r="Y76" s="85">
        <v>42</v>
      </c>
      <c r="Z76" s="86">
        <v>4000</v>
      </c>
      <c r="AA76" s="88">
        <v>192.4</v>
      </c>
      <c r="AB76" s="38">
        <v>0</v>
      </c>
      <c r="AC76" s="85">
        <v>60</v>
      </c>
      <c r="AD76" s="87">
        <v>42</v>
      </c>
      <c r="AE76" s="88">
        <v>80</v>
      </c>
      <c r="AF76" s="78" t="s">
        <v>485</v>
      </c>
    </row>
    <row r="77" spans="1:32" ht="16.2" x14ac:dyDescent="0.3">
      <c r="A77" s="33" t="s">
        <v>69</v>
      </c>
      <c r="B77" s="37">
        <f>+F24</f>
        <v>12</v>
      </c>
      <c r="C77" s="36">
        <f>+D62</f>
        <v>1200</v>
      </c>
      <c r="D77" s="74">
        <f>+B2*D53*(SIN(B4*PI()/180)-COS(B4*PI()/180)*B5)</f>
        <v>4905</v>
      </c>
      <c r="E77" s="35">
        <f t="shared" si="0"/>
        <v>16.666666666666664</v>
      </c>
      <c r="F77" s="32">
        <f t="shared" si="1"/>
        <v>1</v>
      </c>
      <c r="G77" s="32">
        <v>60</v>
      </c>
      <c r="H77" s="34" t="s">
        <v>69</v>
      </c>
      <c r="K77" s="78" t="s">
        <v>365</v>
      </c>
      <c r="L77" s="79">
        <v>50</v>
      </c>
      <c r="M77" s="79">
        <v>10</v>
      </c>
      <c r="N77" s="80">
        <v>6.35</v>
      </c>
      <c r="O77" s="79">
        <v>4390</v>
      </c>
      <c r="P77" s="79">
        <v>12400</v>
      </c>
      <c r="Q77" s="79">
        <v>129</v>
      </c>
      <c r="R77" s="79">
        <v>143</v>
      </c>
      <c r="S77" s="78" t="s">
        <v>43</v>
      </c>
      <c r="T77" s="89" t="s">
        <v>156</v>
      </c>
      <c r="V77" s="85">
        <v>13.9</v>
      </c>
      <c r="W77" s="86">
        <v>1500</v>
      </c>
      <c r="X77" s="85">
        <v>87.8</v>
      </c>
      <c r="Y77" s="85">
        <v>26.3</v>
      </c>
      <c r="Z77" s="86">
        <v>4000</v>
      </c>
      <c r="AA77" s="88">
        <v>237.1</v>
      </c>
      <c r="AB77" s="38">
        <v>0</v>
      </c>
      <c r="AC77" s="85">
        <v>70</v>
      </c>
      <c r="AD77" s="87">
        <v>42</v>
      </c>
      <c r="AE77" s="88">
        <v>80</v>
      </c>
      <c r="AF77" s="78" t="s">
        <v>485</v>
      </c>
    </row>
    <row r="78" spans="1:32" ht="16.2" x14ac:dyDescent="0.3">
      <c r="A78" s="33" t="s">
        <v>68</v>
      </c>
      <c r="B78" s="37">
        <f>+B76</f>
        <v>6</v>
      </c>
      <c r="C78" s="36">
        <f>+C77/2</f>
        <v>600</v>
      </c>
      <c r="D78" s="74">
        <f>+B2*D53*(SIN(B4*PI()/180)-COS(B4*PI()/180)*B5)-B2*D17</f>
        <v>3924</v>
      </c>
      <c r="E78" s="35">
        <f t="shared" si="0"/>
        <v>8.3333333333333321</v>
      </c>
      <c r="F78" s="32">
        <f t="shared" si="1"/>
        <v>0.5</v>
      </c>
      <c r="G78" s="32">
        <v>30</v>
      </c>
      <c r="H78" s="34" t="s">
        <v>68</v>
      </c>
      <c r="K78" s="78" t="s">
        <v>366</v>
      </c>
      <c r="L78" s="79">
        <v>63</v>
      </c>
      <c r="M78" s="79">
        <v>10</v>
      </c>
      <c r="N78" s="80">
        <v>6.35</v>
      </c>
      <c r="O78" s="79">
        <v>5020</v>
      </c>
      <c r="P78" s="79">
        <v>16450</v>
      </c>
      <c r="Q78" s="79">
        <v>158</v>
      </c>
      <c r="R78" s="79">
        <v>147</v>
      </c>
      <c r="S78" s="78" t="s">
        <v>43</v>
      </c>
      <c r="T78" s="89" t="s">
        <v>539</v>
      </c>
      <c r="V78" s="85">
        <v>27.75</v>
      </c>
      <c r="W78" s="86">
        <v>3000</v>
      </c>
      <c r="X78" s="85">
        <v>87.8</v>
      </c>
      <c r="Y78" s="85">
        <v>52.5</v>
      </c>
      <c r="Z78" s="86">
        <v>4000</v>
      </c>
      <c r="AA78" s="88">
        <v>237.1</v>
      </c>
      <c r="AB78" s="38">
        <v>0</v>
      </c>
      <c r="AC78" s="85">
        <v>70</v>
      </c>
      <c r="AD78" s="87">
        <v>42</v>
      </c>
      <c r="AE78" s="88">
        <v>80</v>
      </c>
      <c r="AF78" s="78" t="s">
        <v>485</v>
      </c>
    </row>
    <row r="79" spans="1:32" ht="16.2" x14ac:dyDescent="0.3">
      <c r="A79" s="33" t="s">
        <v>67</v>
      </c>
      <c r="B79" s="37">
        <v>0</v>
      </c>
      <c r="C79" s="36">
        <v>0</v>
      </c>
      <c r="D79" s="74">
        <f>+B2*D53*(SIN(B4*PI()/180)-COS(B4*PI()/180)*B5)-B2*0</f>
        <v>4905</v>
      </c>
      <c r="E79" s="35">
        <f t="shared" si="0"/>
        <v>46.666666666666664</v>
      </c>
      <c r="F79" s="32">
        <f t="shared" si="1"/>
        <v>2.8</v>
      </c>
      <c r="G79" s="32">
        <f>2*60+48</f>
        <v>168</v>
      </c>
      <c r="H79" s="34" t="s">
        <v>67</v>
      </c>
      <c r="K79" s="78" t="s">
        <v>367</v>
      </c>
      <c r="L79" s="79">
        <v>63</v>
      </c>
      <c r="M79" s="79">
        <v>12</v>
      </c>
      <c r="N79" s="80">
        <v>7.9379999999999997</v>
      </c>
      <c r="O79" s="79">
        <v>5140</v>
      </c>
      <c r="P79" s="79">
        <v>14570</v>
      </c>
      <c r="Q79" s="79">
        <v>122</v>
      </c>
      <c r="R79" s="79">
        <v>147</v>
      </c>
      <c r="S79" s="78" t="s">
        <v>43</v>
      </c>
      <c r="T79" s="89" t="s">
        <v>154</v>
      </c>
      <c r="V79" s="85">
        <v>16.5</v>
      </c>
      <c r="W79" s="86">
        <v>1500</v>
      </c>
      <c r="X79" s="85">
        <v>104</v>
      </c>
      <c r="Y79" s="85">
        <v>31.2</v>
      </c>
      <c r="Z79" s="86">
        <v>4000</v>
      </c>
      <c r="AA79" s="88">
        <v>280.8</v>
      </c>
      <c r="AB79" s="38">
        <v>0</v>
      </c>
      <c r="AC79" s="85">
        <v>80</v>
      </c>
      <c r="AD79" s="87">
        <v>42</v>
      </c>
      <c r="AE79" s="88">
        <v>80</v>
      </c>
      <c r="AF79" s="78" t="s">
        <v>485</v>
      </c>
    </row>
    <row r="80" spans="1:32" x14ac:dyDescent="0.3">
      <c r="E80" s="16">
        <f>SUM(E73:E79)</f>
        <v>100</v>
      </c>
      <c r="F80" s="16">
        <f t="shared" si="1"/>
        <v>6</v>
      </c>
      <c r="G80" s="16">
        <f>SUM(G73:G79)</f>
        <v>360</v>
      </c>
      <c r="K80" s="78" t="s">
        <v>368</v>
      </c>
      <c r="L80" s="79">
        <v>63</v>
      </c>
      <c r="M80" s="79">
        <v>12</v>
      </c>
      <c r="N80" s="80">
        <v>7.9379999999999997</v>
      </c>
      <c r="O80" s="79">
        <v>6580</v>
      </c>
      <c r="P80" s="79">
        <v>19430</v>
      </c>
      <c r="Q80" s="79">
        <v>161</v>
      </c>
      <c r="R80" s="79">
        <v>171</v>
      </c>
      <c r="S80" s="78" t="s">
        <v>43</v>
      </c>
      <c r="T80" s="89" t="s">
        <v>540</v>
      </c>
      <c r="V80" s="85">
        <v>33</v>
      </c>
      <c r="W80" s="86">
        <v>3000</v>
      </c>
      <c r="X80" s="85">
        <v>104</v>
      </c>
      <c r="Y80" s="85">
        <v>62.4</v>
      </c>
      <c r="Z80" s="86">
        <v>4000</v>
      </c>
      <c r="AA80" s="88">
        <v>280.8</v>
      </c>
      <c r="AB80" s="38">
        <v>0</v>
      </c>
      <c r="AC80" s="85">
        <v>80</v>
      </c>
      <c r="AD80" s="87">
        <v>42</v>
      </c>
      <c r="AE80" s="88">
        <v>80</v>
      </c>
      <c r="AF80" s="78" t="s">
        <v>485</v>
      </c>
    </row>
    <row r="81" spans="1:32" x14ac:dyDescent="0.3">
      <c r="E81" s="16"/>
      <c r="F81" s="16"/>
      <c r="G81" s="16"/>
      <c r="K81" s="78" t="s">
        <v>369</v>
      </c>
      <c r="L81" s="79">
        <v>63</v>
      </c>
      <c r="M81" s="79">
        <v>20</v>
      </c>
      <c r="N81" s="80">
        <v>9.5250000000000004</v>
      </c>
      <c r="O81" s="79">
        <v>5990</v>
      </c>
      <c r="P81" s="79">
        <v>15740</v>
      </c>
      <c r="Q81" s="79">
        <v>107</v>
      </c>
      <c r="R81" s="79">
        <v>95</v>
      </c>
      <c r="S81" s="78" t="s">
        <v>43</v>
      </c>
      <c r="T81" s="89" t="s">
        <v>151</v>
      </c>
      <c r="V81" s="85">
        <v>19.5</v>
      </c>
      <c r="W81" s="86">
        <v>1500</v>
      </c>
      <c r="X81" s="85">
        <v>124</v>
      </c>
      <c r="Y81" s="85">
        <v>37</v>
      </c>
      <c r="Z81" s="86">
        <v>4000</v>
      </c>
      <c r="AA81" s="88">
        <v>334.8</v>
      </c>
      <c r="AB81" s="38">
        <v>0</v>
      </c>
      <c r="AC81" s="85">
        <v>100</v>
      </c>
      <c r="AD81" s="87">
        <v>42</v>
      </c>
      <c r="AE81" s="88">
        <v>80</v>
      </c>
      <c r="AF81" s="78" t="s">
        <v>485</v>
      </c>
    </row>
    <row r="82" spans="1:32" ht="16.2" x14ac:dyDescent="0.3">
      <c r="A82" s="4" t="s">
        <v>66</v>
      </c>
      <c r="E82" s="16"/>
      <c r="F82" s="16"/>
      <c r="G82" s="16"/>
      <c r="K82" s="78" t="s">
        <v>370</v>
      </c>
      <c r="L82" s="79">
        <v>80</v>
      </c>
      <c r="M82" s="79">
        <v>10</v>
      </c>
      <c r="N82" s="80">
        <v>6.35</v>
      </c>
      <c r="O82" s="79">
        <v>4760</v>
      </c>
      <c r="P82" s="79">
        <v>20090</v>
      </c>
      <c r="Q82" s="79">
        <v>173</v>
      </c>
      <c r="R82" s="79">
        <v>115</v>
      </c>
      <c r="S82" s="78" t="s">
        <v>43</v>
      </c>
      <c r="T82" s="89" t="s">
        <v>541</v>
      </c>
      <c r="V82" s="85">
        <v>39</v>
      </c>
      <c r="W82" s="86">
        <v>3000</v>
      </c>
      <c r="X82" s="85">
        <v>124</v>
      </c>
      <c r="Y82" s="85">
        <v>75</v>
      </c>
      <c r="Z82" s="86">
        <v>4000</v>
      </c>
      <c r="AA82" s="88">
        <v>334.8</v>
      </c>
      <c r="AB82" s="38">
        <v>0</v>
      </c>
      <c r="AC82" s="85">
        <v>100</v>
      </c>
      <c r="AD82" s="87">
        <v>42</v>
      </c>
      <c r="AE82" s="88">
        <v>80</v>
      </c>
      <c r="AF82" s="78" t="s">
        <v>485</v>
      </c>
    </row>
    <row r="83" spans="1:32" ht="19.8" x14ac:dyDescent="0.3">
      <c r="A83" s="4" t="s">
        <v>62</v>
      </c>
      <c r="B83" s="11">
        <f>+B14/60</f>
        <v>7.7</v>
      </c>
      <c r="C83" s="9" t="s">
        <v>19</v>
      </c>
      <c r="D83" s="4" t="s">
        <v>64</v>
      </c>
      <c r="E83" s="14">
        <f>+$B$8</f>
        <v>20</v>
      </c>
      <c r="F83" s="9" t="s">
        <v>19</v>
      </c>
      <c r="G83" s="16"/>
      <c r="K83" s="78" t="s">
        <v>371</v>
      </c>
      <c r="L83" s="79">
        <v>80</v>
      </c>
      <c r="M83" s="79">
        <v>16</v>
      </c>
      <c r="N83" s="80">
        <v>9.5250000000000004</v>
      </c>
      <c r="O83" s="79">
        <v>11280</v>
      </c>
      <c r="P83" s="79">
        <v>41220</v>
      </c>
      <c r="Q83" s="79">
        <v>201</v>
      </c>
      <c r="R83" s="79">
        <v>175</v>
      </c>
      <c r="S83" s="78" t="s">
        <v>43</v>
      </c>
      <c r="T83" s="89" t="s">
        <v>149</v>
      </c>
      <c r="V83" s="85">
        <v>22.5</v>
      </c>
      <c r="W83" s="86">
        <v>1500</v>
      </c>
      <c r="X83" s="85">
        <v>142</v>
      </c>
      <c r="Y83" s="85">
        <v>42.6</v>
      </c>
      <c r="Z83" s="86">
        <v>4000</v>
      </c>
      <c r="AA83" s="88">
        <v>383.4</v>
      </c>
      <c r="AB83" s="38">
        <v>0</v>
      </c>
      <c r="AC83" s="85">
        <v>110</v>
      </c>
      <c r="AD83" s="87">
        <v>42</v>
      </c>
      <c r="AE83" s="88">
        <v>80</v>
      </c>
      <c r="AF83" s="78" t="s">
        <v>485</v>
      </c>
    </row>
    <row r="84" spans="1:32" ht="16.2" x14ac:dyDescent="0.3">
      <c r="A84" s="4"/>
      <c r="E84" s="16"/>
      <c r="F84" s="16"/>
      <c r="G84" s="16"/>
      <c r="K84" s="78" t="s">
        <v>372</v>
      </c>
      <c r="L84" s="79">
        <v>80</v>
      </c>
      <c r="M84" s="79">
        <v>16</v>
      </c>
      <c r="N84" s="80">
        <v>9.5250000000000004</v>
      </c>
      <c r="O84" s="79">
        <v>7960</v>
      </c>
      <c r="P84" s="79">
        <v>27480</v>
      </c>
      <c r="Q84" s="79">
        <v>137</v>
      </c>
      <c r="R84" s="79">
        <v>159</v>
      </c>
      <c r="S84" s="78" t="s">
        <v>43</v>
      </c>
      <c r="T84" s="89" t="s">
        <v>542</v>
      </c>
      <c r="V84" s="85">
        <v>45</v>
      </c>
      <c r="W84" s="86">
        <v>3000</v>
      </c>
      <c r="X84" s="85">
        <v>142</v>
      </c>
      <c r="Y84" s="85">
        <v>85.2</v>
      </c>
      <c r="Z84" s="86">
        <v>4000</v>
      </c>
      <c r="AA84" s="88">
        <v>383.4</v>
      </c>
      <c r="AB84" s="38">
        <v>0</v>
      </c>
      <c r="AC84" s="85">
        <v>110</v>
      </c>
      <c r="AD84" s="87">
        <v>42</v>
      </c>
      <c r="AE84" s="88">
        <v>80</v>
      </c>
      <c r="AF84" s="78" t="s">
        <v>485</v>
      </c>
    </row>
    <row r="85" spans="1:32" ht="16.2" x14ac:dyDescent="0.3">
      <c r="A85" s="10"/>
      <c r="E85" s="16"/>
      <c r="F85" s="16"/>
      <c r="G85" s="16"/>
      <c r="K85" s="78" t="s">
        <v>373</v>
      </c>
      <c r="L85" s="79">
        <v>16</v>
      </c>
      <c r="M85" s="79">
        <v>5</v>
      </c>
      <c r="N85" s="80">
        <v>3</v>
      </c>
      <c r="O85" s="79">
        <v>890</v>
      </c>
      <c r="P85" s="79">
        <v>1760</v>
      </c>
      <c r="Q85" s="79">
        <v>27</v>
      </c>
      <c r="R85" s="79">
        <v>41</v>
      </c>
      <c r="S85" s="78" t="s">
        <v>43</v>
      </c>
      <c r="T85" s="89" t="s">
        <v>147</v>
      </c>
      <c r="V85" s="85">
        <v>17</v>
      </c>
      <c r="W85" s="86">
        <v>1500</v>
      </c>
      <c r="X85" s="85">
        <v>105</v>
      </c>
      <c r="Y85" s="85">
        <v>31.5</v>
      </c>
      <c r="Z85" s="86">
        <v>4000</v>
      </c>
      <c r="AA85" s="88">
        <v>210</v>
      </c>
      <c r="AB85" s="38">
        <v>0</v>
      </c>
      <c r="AC85" s="85">
        <v>118</v>
      </c>
      <c r="AD85" s="87">
        <v>48</v>
      </c>
      <c r="AE85" s="88">
        <v>110</v>
      </c>
      <c r="AF85" s="78" t="s">
        <v>485</v>
      </c>
    </row>
    <row r="86" spans="1:32" x14ac:dyDescent="0.3">
      <c r="E86" s="16"/>
      <c r="F86" s="16"/>
      <c r="G86" s="16"/>
      <c r="K86" s="78" t="s">
        <v>374</v>
      </c>
      <c r="L86" s="79">
        <v>20</v>
      </c>
      <c r="M86" s="79">
        <v>10</v>
      </c>
      <c r="N86" s="80">
        <v>3.1749999999999998</v>
      </c>
      <c r="O86" s="79">
        <v>990</v>
      </c>
      <c r="P86" s="79">
        <v>2220</v>
      </c>
      <c r="Q86" s="79">
        <v>33</v>
      </c>
      <c r="R86" s="79">
        <v>47</v>
      </c>
      <c r="S86" s="78" t="s">
        <v>319</v>
      </c>
      <c r="T86" s="89" t="s">
        <v>543</v>
      </c>
      <c r="V86" s="85">
        <v>33.700000000000003</v>
      </c>
      <c r="W86" s="86">
        <v>3000</v>
      </c>
      <c r="X86" s="85">
        <v>105</v>
      </c>
      <c r="Y86" s="85">
        <v>63</v>
      </c>
      <c r="Z86" s="86">
        <v>4000</v>
      </c>
      <c r="AA86" s="88">
        <v>210</v>
      </c>
      <c r="AB86" s="38">
        <v>0</v>
      </c>
      <c r="AC86" s="85">
        <v>118</v>
      </c>
      <c r="AD86" s="87">
        <v>48</v>
      </c>
      <c r="AE86" s="88">
        <v>110</v>
      </c>
      <c r="AF86" s="78" t="s">
        <v>485</v>
      </c>
    </row>
    <row r="87" spans="1:32" x14ac:dyDescent="0.3">
      <c r="E87" s="16"/>
      <c r="F87" s="16"/>
      <c r="G87" s="16"/>
      <c r="K87" s="78" t="s">
        <v>375</v>
      </c>
      <c r="L87" s="79">
        <v>20</v>
      </c>
      <c r="M87" s="79">
        <v>10</v>
      </c>
      <c r="N87" s="80">
        <v>4.7619999999999996</v>
      </c>
      <c r="O87" s="79">
        <v>2560</v>
      </c>
      <c r="P87" s="79">
        <v>5530</v>
      </c>
      <c r="Q87" s="79">
        <v>47</v>
      </c>
      <c r="R87" s="79">
        <v>62</v>
      </c>
      <c r="S87" s="9" t="s">
        <v>51</v>
      </c>
      <c r="T87" s="89" t="s">
        <v>144</v>
      </c>
      <c r="V87" s="85">
        <v>24</v>
      </c>
      <c r="W87" s="86">
        <v>1500</v>
      </c>
      <c r="X87" s="85">
        <v>153</v>
      </c>
      <c r="Y87" s="85">
        <v>46.5</v>
      </c>
      <c r="Z87" s="86">
        <v>4000</v>
      </c>
      <c r="AA87" s="88">
        <v>306</v>
      </c>
      <c r="AB87" s="38">
        <v>0</v>
      </c>
      <c r="AC87" s="85">
        <v>138</v>
      </c>
      <c r="AD87" s="87">
        <v>48</v>
      </c>
      <c r="AE87" s="88">
        <v>110</v>
      </c>
      <c r="AF87" s="78" t="s">
        <v>485</v>
      </c>
    </row>
    <row r="88" spans="1:32" ht="16.2" x14ac:dyDescent="0.3">
      <c r="A88" s="4" t="s">
        <v>65</v>
      </c>
      <c r="D88" s="11"/>
      <c r="E88" s="16"/>
      <c r="F88" s="16"/>
      <c r="G88" s="16"/>
      <c r="K88" s="78" t="s">
        <v>376</v>
      </c>
      <c r="L88" s="79">
        <v>20</v>
      </c>
      <c r="M88" s="79">
        <v>20</v>
      </c>
      <c r="N88" s="80">
        <v>3.1749999999999998</v>
      </c>
      <c r="O88" s="79">
        <v>670</v>
      </c>
      <c r="P88" s="79">
        <v>1450</v>
      </c>
      <c r="Q88" s="79">
        <v>23</v>
      </c>
      <c r="R88" s="79">
        <v>56</v>
      </c>
      <c r="S88" s="78" t="s">
        <v>319</v>
      </c>
      <c r="T88" s="89" t="s">
        <v>544</v>
      </c>
      <c r="V88" s="85">
        <v>48</v>
      </c>
      <c r="W88" s="86">
        <v>3000</v>
      </c>
      <c r="X88" s="85">
        <v>153</v>
      </c>
      <c r="Y88" s="85">
        <v>91.5</v>
      </c>
      <c r="Z88" s="86">
        <v>4000</v>
      </c>
      <c r="AA88" s="88">
        <v>306</v>
      </c>
      <c r="AB88" s="38">
        <v>0</v>
      </c>
      <c r="AC88" s="85">
        <v>138</v>
      </c>
      <c r="AD88" s="87">
        <v>48</v>
      </c>
      <c r="AE88" s="88">
        <v>110</v>
      </c>
      <c r="AF88" s="78" t="s">
        <v>485</v>
      </c>
    </row>
    <row r="89" spans="1:32" ht="19.8" x14ac:dyDescent="0.3">
      <c r="A89" s="4" t="s">
        <v>62</v>
      </c>
      <c r="B89" s="11">
        <f>+(MAX(D73:D79)*B14^2/(B98*D53*10^3))^(1/4)</f>
        <v>10.585436163275741</v>
      </c>
      <c r="C89" s="9" t="s">
        <v>19</v>
      </c>
      <c r="D89" s="4" t="s">
        <v>64</v>
      </c>
      <c r="E89" s="14">
        <f>+$B$8</f>
        <v>20</v>
      </c>
      <c r="F89" s="9" t="s">
        <v>19</v>
      </c>
      <c r="G89" s="16"/>
      <c r="K89" s="78" t="s">
        <v>377</v>
      </c>
      <c r="L89" s="79">
        <v>25</v>
      </c>
      <c r="M89" s="79">
        <v>10</v>
      </c>
      <c r="N89" s="80">
        <v>3.1749999999999998</v>
      </c>
      <c r="O89" s="79">
        <v>1100</v>
      </c>
      <c r="P89" s="79">
        <v>2810</v>
      </c>
      <c r="Q89" s="79">
        <v>38</v>
      </c>
      <c r="R89" s="79">
        <v>50</v>
      </c>
      <c r="S89" s="78" t="s">
        <v>319</v>
      </c>
      <c r="T89" s="89" t="s">
        <v>141</v>
      </c>
      <c r="V89" s="85">
        <v>33.799999999999997</v>
      </c>
      <c r="W89" s="86">
        <v>1500</v>
      </c>
      <c r="X89" s="85">
        <v>215</v>
      </c>
      <c r="Y89" s="85">
        <v>64.5</v>
      </c>
      <c r="Z89" s="86">
        <v>4000</v>
      </c>
      <c r="AA89" s="88">
        <v>430</v>
      </c>
      <c r="AB89" s="38">
        <v>0</v>
      </c>
      <c r="AC89" s="85">
        <v>158</v>
      </c>
      <c r="AD89" s="87">
        <v>48</v>
      </c>
      <c r="AE89" s="88">
        <v>110</v>
      </c>
      <c r="AF89" s="78" t="s">
        <v>485</v>
      </c>
    </row>
    <row r="90" spans="1:32" x14ac:dyDescent="0.3">
      <c r="E90" s="16"/>
      <c r="F90" s="16"/>
      <c r="G90" s="16"/>
      <c r="K90" s="78" t="s">
        <v>378</v>
      </c>
      <c r="L90" s="79">
        <v>25</v>
      </c>
      <c r="M90" s="79">
        <v>10</v>
      </c>
      <c r="N90" s="80">
        <v>4.7619999999999996</v>
      </c>
      <c r="O90" s="79">
        <v>2880</v>
      </c>
      <c r="P90" s="79">
        <v>6870</v>
      </c>
      <c r="Q90" s="79">
        <v>55</v>
      </c>
      <c r="R90" s="79">
        <v>63</v>
      </c>
      <c r="S90" s="78" t="s">
        <v>319</v>
      </c>
      <c r="T90" s="89" t="s">
        <v>545</v>
      </c>
      <c r="V90" s="85">
        <v>67.5</v>
      </c>
      <c r="W90" s="86">
        <v>3000</v>
      </c>
      <c r="X90" s="85">
        <v>215</v>
      </c>
      <c r="Y90" s="85">
        <v>129</v>
      </c>
      <c r="Z90" s="86">
        <v>4000</v>
      </c>
      <c r="AA90" s="88">
        <v>430</v>
      </c>
      <c r="AB90" s="38">
        <v>0</v>
      </c>
      <c r="AC90" s="85">
        <v>158</v>
      </c>
      <c r="AD90" s="87">
        <v>48</v>
      </c>
      <c r="AE90" s="88">
        <v>110</v>
      </c>
      <c r="AF90" s="78" t="s">
        <v>485</v>
      </c>
    </row>
    <row r="91" spans="1:32" x14ac:dyDescent="0.3">
      <c r="E91" s="16"/>
      <c r="F91" s="16"/>
      <c r="G91" s="16"/>
      <c r="K91" s="78" t="s">
        <v>379</v>
      </c>
      <c r="L91" s="79">
        <v>25</v>
      </c>
      <c r="M91" s="79">
        <v>10</v>
      </c>
      <c r="N91" s="80">
        <v>6.35</v>
      </c>
      <c r="O91" s="79">
        <v>5050</v>
      </c>
      <c r="P91" s="79">
        <v>11500</v>
      </c>
      <c r="Q91" s="79">
        <v>72</v>
      </c>
      <c r="R91" s="79">
        <v>78</v>
      </c>
      <c r="S91" s="78" t="s">
        <v>319</v>
      </c>
      <c r="T91" s="89" t="s">
        <v>139</v>
      </c>
      <c r="V91" s="85">
        <v>41.3</v>
      </c>
      <c r="W91" s="86">
        <v>1500</v>
      </c>
      <c r="X91" s="85">
        <v>263</v>
      </c>
      <c r="Y91" s="85">
        <v>78.900000000000006</v>
      </c>
      <c r="Z91" s="86">
        <v>4000</v>
      </c>
      <c r="AA91" s="88">
        <v>526</v>
      </c>
      <c r="AB91" s="38">
        <v>0</v>
      </c>
      <c r="AC91" s="85">
        <v>178</v>
      </c>
      <c r="AD91" s="87">
        <v>48</v>
      </c>
      <c r="AE91" s="88">
        <v>110</v>
      </c>
      <c r="AF91" s="78" t="s">
        <v>485</v>
      </c>
    </row>
    <row r="92" spans="1:32" ht="16.2" x14ac:dyDescent="0.3">
      <c r="A92" s="4" t="s">
        <v>60</v>
      </c>
      <c r="B92" s="10"/>
      <c r="E92" s="16"/>
      <c r="F92" s="16"/>
      <c r="G92" s="16"/>
      <c r="K92" s="78" t="s">
        <v>380</v>
      </c>
      <c r="L92" s="79">
        <v>25</v>
      </c>
      <c r="M92" s="79">
        <v>15</v>
      </c>
      <c r="N92" s="80">
        <v>3.1749999999999998</v>
      </c>
      <c r="O92" s="79">
        <v>1410</v>
      </c>
      <c r="P92" s="79">
        <v>3780</v>
      </c>
      <c r="Q92" s="79">
        <v>50</v>
      </c>
      <c r="R92" s="79">
        <v>81</v>
      </c>
      <c r="S92" s="78" t="s">
        <v>319</v>
      </c>
      <c r="T92" s="89" t="s">
        <v>546</v>
      </c>
      <c r="V92" s="85">
        <v>82.5</v>
      </c>
      <c r="W92" s="86">
        <v>3000</v>
      </c>
      <c r="X92" s="85">
        <v>263</v>
      </c>
      <c r="Y92" s="85">
        <v>157.80000000000001</v>
      </c>
      <c r="Z92" s="86">
        <v>4000</v>
      </c>
      <c r="AA92" s="88">
        <v>526</v>
      </c>
      <c r="AB92" s="38">
        <v>0</v>
      </c>
      <c r="AC92" s="85">
        <v>178</v>
      </c>
      <c r="AD92" s="87">
        <v>48</v>
      </c>
      <c r="AE92" s="88">
        <v>110</v>
      </c>
      <c r="AF92" s="78" t="s">
        <v>485</v>
      </c>
    </row>
    <row r="93" spans="1:32" ht="16.2" x14ac:dyDescent="0.3">
      <c r="A93" s="30" t="s">
        <v>59</v>
      </c>
      <c r="B93" s="29" t="s">
        <v>4</v>
      </c>
      <c r="C93" s="29" t="s">
        <v>0</v>
      </c>
      <c r="E93" s="16"/>
      <c r="F93" s="16"/>
      <c r="G93" s="16"/>
      <c r="K93" s="78" t="s">
        <v>381</v>
      </c>
      <c r="L93" s="79">
        <v>25</v>
      </c>
      <c r="M93" s="79">
        <v>16</v>
      </c>
      <c r="N93" s="80">
        <v>4.7619999999999996</v>
      </c>
      <c r="O93" s="79">
        <v>2830</v>
      </c>
      <c r="P93" s="79">
        <v>6790</v>
      </c>
      <c r="Q93" s="79">
        <v>55</v>
      </c>
      <c r="R93" s="79">
        <v>85</v>
      </c>
      <c r="S93" s="78" t="s">
        <v>319</v>
      </c>
      <c r="T93" s="89" t="s">
        <v>136</v>
      </c>
      <c r="V93" s="85">
        <v>48</v>
      </c>
      <c r="W93" s="86">
        <v>1500</v>
      </c>
      <c r="X93" s="85">
        <v>302.7</v>
      </c>
      <c r="Y93" s="85">
        <v>90.6</v>
      </c>
      <c r="Z93" s="86">
        <v>4000</v>
      </c>
      <c r="AA93" s="88">
        <v>605.4</v>
      </c>
      <c r="AB93" s="38">
        <v>0</v>
      </c>
      <c r="AC93" s="85">
        <v>198</v>
      </c>
      <c r="AD93" s="87">
        <v>48</v>
      </c>
      <c r="AE93" s="88">
        <v>110</v>
      </c>
      <c r="AF93" s="78" t="s">
        <v>485</v>
      </c>
    </row>
    <row r="94" spans="1:32" ht="16.2" x14ac:dyDescent="0.3">
      <c r="A94" s="23" t="s">
        <v>58</v>
      </c>
      <c r="B94" s="28">
        <v>5.0999999999999996</v>
      </c>
      <c r="C94" s="28">
        <v>1</v>
      </c>
      <c r="E94" s="16"/>
      <c r="F94" s="16"/>
      <c r="G94" s="16"/>
      <c r="K94" s="78" t="s">
        <v>382</v>
      </c>
      <c r="L94" s="79">
        <v>25</v>
      </c>
      <c r="M94" s="79">
        <v>25</v>
      </c>
      <c r="N94" s="80">
        <v>3.1749999999999998</v>
      </c>
      <c r="O94" s="79">
        <v>730</v>
      </c>
      <c r="P94" s="79">
        <v>1810</v>
      </c>
      <c r="Q94" s="79">
        <v>26</v>
      </c>
      <c r="R94" s="79">
        <v>71</v>
      </c>
      <c r="S94" s="78" t="s">
        <v>319</v>
      </c>
      <c r="T94" s="89" t="s">
        <v>547</v>
      </c>
      <c r="V94" s="85">
        <v>96</v>
      </c>
      <c r="W94" s="86">
        <v>3000</v>
      </c>
      <c r="X94" s="85">
        <v>302.7</v>
      </c>
      <c r="Y94" s="85">
        <v>181.2</v>
      </c>
      <c r="Z94" s="86">
        <v>4000</v>
      </c>
      <c r="AA94" s="88">
        <v>605.4</v>
      </c>
      <c r="AB94" s="38">
        <v>0</v>
      </c>
      <c r="AC94" s="85">
        <v>198</v>
      </c>
      <c r="AD94" s="87">
        <v>48</v>
      </c>
      <c r="AE94" s="88">
        <v>110</v>
      </c>
      <c r="AF94" s="78" t="s">
        <v>485</v>
      </c>
    </row>
    <row r="95" spans="1:32" ht="16.2" x14ac:dyDescent="0.3">
      <c r="A95" s="71" t="s">
        <v>57</v>
      </c>
      <c r="B95" s="32">
        <v>10.199999999999999</v>
      </c>
      <c r="C95" s="32">
        <v>2</v>
      </c>
      <c r="E95" s="16"/>
      <c r="F95" s="16"/>
      <c r="G95" s="16"/>
      <c r="K95" s="78" t="s">
        <v>383</v>
      </c>
      <c r="L95" s="79">
        <v>28</v>
      </c>
      <c r="M95" s="79">
        <v>10</v>
      </c>
      <c r="N95" s="80">
        <v>4.7619999999999996</v>
      </c>
      <c r="O95" s="79">
        <v>2350</v>
      </c>
      <c r="P95" s="79">
        <v>5720</v>
      </c>
      <c r="Q95" s="79">
        <v>46</v>
      </c>
      <c r="R95" s="79">
        <v>52</v>
      </c>
      <c r="S95" s="78" t="s">
        <v>319</v>
      </c>
      <c r="T95" s="89" t="s">
        <v>134</v>
      </c>
      <c r="V95" s="85">
        <v>56.3</v>
      </c>
      <c r="W95" s="86">
        <v>1500</v>
      </c>
      <c r="X95" s="85">
        <v>354.7</v>
      </c>
      <c r="Y95" s="85">
        <v>106.5</v>
      </c>
      <c r="Z95" s="86">
        <v>4000</v>
      </c>
      <c r="AA95" s="88">
        <v>709.4</v>
      </c>
      <c r="AB95" s="38">
        <v>0</v>
      </c>
      <c r="AC95" s="85">
        <v>218</v>
      </c>
      <c r="AD95" s="87">
        <v>48</v>
      </c>
      <c r="AE95" s="88">
        <v>110</v>
      </c>
      <c r="AF95" s="78" t="s">
        <v>485</v>
      </c>
    </row>
    <row r="96" spans="1:32" ht="16.2" x14ac:dyDescent="0.3">
      <c r="A96" s="72" t="s">
        <v>56</v>
      </c>
      <c r="B96" s="73">
        <v>1.3</v>
      </c>
      <c r="C96" s="73">
        <v>0.25</v>
      </c>
      <c r="E96" s="16"/>
      <c r="F96" s="16"/>
      <c r="G96" s="16"/>
      <c r="K96" s="78" t="s">
        <v>384</v>
      </c>
      <c r="L96" s="79">
        <v>28</v>
      </c>
      <c r="M96" s="79">
        <v>10</v>
      </c>
      <c r="N96" s="80">
        <v>6.35</v>
      </c>
      <c r="O96" s="79">
        <v>5280</v>
      </c>
      <c r="P96" s="79">
        <v>12530</v>
      </c>
      <c r="Q96" s="79">
        <v>77</v>
      </c>
      <c r="R96" s="79">
        <v>78</v>
      </c>
      <c r="S96" s="78" t="s">
        <v>319</v>
      </c>
      <c r="T96" s="89" t="s">
        <v>548</v>
      </c>
      <c r="V96" s="85">
        <v>112.5</v>
      </c>
      <c r="W96" s="86">
        <v>3000</v>
      </c>
      <c r="X96" s="85">
        <v>354.7</v>
      </c>
      <c r="Y96" s="85">
        <v>213</v>
      </c>
      <c r="Z96" s="86">
        <v>4000</v>
      </c>
      <c r="AA96" s="88">
        <v>709.4</v>
      </c>
      <c r="AB96" s="38">
        <v>0</v>
      </c>
      <c r="AC96" s="85">
        <v>218</v>
      </c>
      <c r="AD96" s="87">
        <v>48</v>
      </c>
      <c r="AE96" s="88">
        <v>110</v>
      </c>
      <c r="AF96" s="78" t="s">
        <v>485</v>
      </c>
    </row>
    <row r="97" spans="1:32" ht="16.2" x14ac:dyDescent="0.3">
      <c r="A97" s="23" t="s">
        <v>55</v>
      </c>
      <c r="B97" s="28">
        <v>20.3</v>
      </c>
      <c r="C97" s="28">
        <v>4</v>
      </c>
      <c r="E97" s="16"/>
      <c r="F97" s="16"/>
      <c r="G97" s="16"/>
      <c r="K97" s="78" t="s">
        <v>385</v>
      </c>
      <c r="L97" s="79">
        <v>32</v>
      </c>
      <c r="M97" s="79">
        <v>10</v>
      </c>
      <c r="N97" s="80">
        <v>3.9689999999999999</v>
      </c>
      <c r="O97" s="79">
        <v>2550</v>
      </c>
      <c r="P97" s="79">
        <v>7500</v>
      </c>
      <c r="Q97" s="79">
        <v>63</v>
      </c>
      <c r="R97" s="79">
        <v>62</v>
      </c>
      <c r="S97" s="78" t="s">
        <v>319</v>
      </c>
      <c r="T97" s="89" t="s">
        <v>131</v>
      </c>
      <c r="V97" s="85">
        <v>61.5</v>
      </c>
      <c r="W97" s="86">
        <v>1500</v>
      </c>
      <c r="X97" s="85">
        <v>387.7</v>
      </c>
      <c r="Y97" s="85">
        <v>116.3</v>
      </c>
      <c r="Z97" s="86">
        <v>4000</v>
      </c>
      <c r="AA97" s="88">
        <v>775.4</v>
      </c>
      <c r="AB97" s="38">
        <v>0</v>
      </c>
      <c r="AC97" s="85">
        <v>238</v>
      </c>
      <c r="AD97" s="87">
        <v>48</v>
      </c>
      <c r="AE97" s="88">
        <v>110</v>
      </c>
      <c r="AF97" s="78" t="s">
        <v>485</v>
      </c>
    </row>
    <row r="98" spans="1:32" x14ac:dyDescent="0.3">
      <c r="A98" s="31" t="s">
        <v>4</v>
      </c>
      <c r="B98" s="16">
        <f>INDEX($A$94:$C$97,MATCH($A$93,$A$94:$A$97),2)</f>
        <v>10.199999999999999</v>
      </c>
      <c r="C98" s="18"/>
      <c r="E98" s="16"/>
      <c r="F98" s="16"/>
      <c r="G98" s="16"/>
      <c r="K98" s="78" t="s">
        <v>386</v>
      </c>
      <c r="L98" s="79">
        <v>32</v>
      </c>
      <c r="M98" s="79">
        <v>10</v>
      </c>
      <c r="N98" s="80">
        <v>4.7619999999999996</v>
      </c>
      <c r="O98" s="79">
        <v>3890</v>
      </c>
      <c r="P98" s="79">
        <v>10910</v>
      </c>
      <c r="Q98" s="79">
        <v>80</v>
      </c>
      <c r="R98" s="79">
        <v>77</v>
      </c>
      <c r="S98" s="78" t="s">
        <v>319</v>
      </c>
      <c r="T98" s="89" t="s">
        <v>549</v>
      </c>
      <c r="V98" s="85">
        <v>123</v>
      </c>
      <c r="W98" s="86">
        <v>3000</v>
      </c>
      <c r="X98" s="85">
        <v>387.7</v>
      </c>
      <c r="Y98" s="85">
        <v>232.5</v>
      </c>
      <c r="Z98" s="86">
        <v>4000</v>
      </c>
      <c r="AA98" s="88">
        <v>775.4</v>
      </c>
      <c r="AB98" s="38">
        <v>0</v>
      </c>
      <c r="AC98" s="85">
        <v>238</v>
      </c>
      <c r="AD98" s="87">
        <v>48</v>
      </c>
      <c r="AE98" s="88">
        <v>110</v>
      </c>
      <c r="AF98" s="78" t="s">
        <v>485</v>
      </c>
    </row>
    <row r="99" spans="1:32" x14ac:dyDescent="0.3">
      <c r="A99" s="31" t="s">
        <v>0</v>
      </c>
      <c r="B99" s="16">
        <f>INDEX($A$94:$C$97,MATCH($A$93,$A$94:$A$97),3)</f>
        <v>2</v>
      </c>
      <c r="C99" s="18"/>
      <c r="E99" s="16"/>
      <c r="F99" s="16"/>
      <c r="G99" s="16"/>
      <c r="K99" s="78" t="s">
        <v>387</v>
      </c>
      <c r="L99" s="79">
        <v>32</v>
      </c>
      <c r="M99" s="79">
        <v>10</v>
      </c>
      <c r="N99" s="80">
        <v>5.556</v>
      </c>
      <c r="O99" s="79">
        <v>4900</v>
      </c>
      <c r="P99" s="79">
        <v>13360</v>
      </c>
      <c r="Q99" s="79">
        <v>84</v>
      </c>
      <c r="R99" s="79">
        <v>78</v>
      </c>
      <c r="S99" s="78" t="s">
        <v>319</v>
      </c>
      <c r="T99" s="89" t="s">
        <v>128</v>
      </c>
      <c r="V99" s="85">
        <v>0.6</v>
      </c>
      <c r="W99" s="86">
        <v>3000</v>
      </c>
      <c r="X99" s="85">
        <v>2</v>
      </c>
      <c r="Y99" s="85">
        <v>4</v>
      </c>
      <c r="Z99" s="86">
        <v>7000</v>
      </c>
      <c r="AA99" s="85">
        <v>4</v>
      </c>
      <c r="AB99" s="38">
        <v>0</v>
      </c>
      <c r="AC99" s="85">
        <v>4.2</v>
      </c>
      <c r="AD99" s="87">
        <v>19</v>
      </c>
      <c r="AE99" s="88">
        <v>55</v>
      </c>
      <c r="AF99" s="78" t="s">
        <v>485</v>
      </c>
    </row>
    <row r="100" spans="1:32" x14ac:dyDescent="0.3">
      <c r="E100" s="16"/>
      <c r="F100" s="16"/>
      <c r="G100" s="16"/>
      <c r="K100" s="78" t="s">
        <v>388</v>
      </c>
      <c r="L100" s="79">
        <v>32</v>
      </c>
      <c r="M100" s="79">
        <v>10</v>
      </c>
      <c r="N100" s="80">
        <v>6.35</v>
      </c>
      <c r="O100" s="79">
        <v>5720</v>
      </c>
      <c r="P100" s="79">
        <v>14490</v>
      </c>
      <c r="Q100" s="79">
        <v>69</v>
      </c>
      <c r="R100" s="79">
        <v>78</v>
      </c>
      <c r="S100" s="78" t="s">
        <v>319</v>
      </c>
      <c r="T100" s="89" t="s">
        <v>125</v>
      </c>
      <c r="V100" s="85">
        <v>1.2</v>
      </c>
      <c r="W100" s="86">
        <v>3000</v>
      </c>
      <c r="X100" s="85">
        <v>4</v>
      </c>
      <c r="Y100" s="85">
        <v>5</v>
      </c>
      <c r="Z100" s="86">
        <v>7000</v>
      </c>
      <c r="AA100" s="85">
        <v>8</v>
      </c>
      <c r="AB100" s="38">
        <v>0</v>
      </c>
      <c r="AC100" s="85">
        <v>5.2</v>
      </c>
      <c r="AD100" s="87">
        <v>19</v>
      </c>
      <c r="AE100" s="88">
        <v>55</v>
      </c>
      <c r="AF100" s="78" t="s">
        <v>485</v>
      </c>
    </row>
    <row r="101" spans="1:32" ht="16.2" x14ac:dyDescent="0.3">
      <c r="A101" s="4" t="s">
        <v>63</v>
      </c>
      <c r="E101" s="16"/>
      <c r="F101" s="16"/>
      <c r="G101" s="16"/>
      <c r="K101" s="78" t="s">
        <v>389</v>
      </c>
      <c r="L101" s="79">
        <v>32</v>
      </c>
      <c r="M101" s="79">
        <v>15</v>
      </c>
      <c r="N101" s="80">
        <v>4.7619999999999996</v>
      </c>
      <c r="O101" s="79">
        <v>3860</v>
      </c>
      <c r="P101" s="79">
        <v>10850</v>
      </c>
      <c r="Q101" s="79">
        <v>80</v>
      </c>
      <c r="R101" s="79">
        <v>116</v>
      </c>
      <c r="S101" s="78" t="s">
        <v>319</v>
      </c>
      <c r="T101" s="89" t="s">
        <v>123</v>
      </c>
      <c r="V101" s="85">
        <v>1.5</v>
      </c>
      <c r="W101" s="86">
        <v>3000</v>
      </c>
      <c r="X101" s="85">
        <v>5</v>
      </c>
      <c r="Y101" s="85">
        <v>6</v>
      </c>
      <c r="Z101" s="86">
        <v>7000</v>
      </c>
      <c r="AA101" s="85">
        <v>10</v>
      </c>
      <c r="AB101" s="38">
        <v>0</v>
      </c>
      <c r="AC101" s="85">
        <v>5.8</v>
      </c>
      <c r="AD101" s="87">
        <v>19</v>
      </c>
      <c r="AE101" s="88">
        <v>55</v>
      </c>
      <c r="AF101" s="78" t="s">
        <v>485</v>
      </c>
    </row>
    <row r="102" spans="1:32" ht="19.8" x14ac:dyDescent="0.3">
      <c r="A102" s="4" t="s">
        <v>62</v>
      </c>
      <c r="B102" s="11">
        <f>+B32*B14^2/(B113*10^7)</f>
        <v>10.462941176470588</v>
      </c>
      <c r="C102" s="9" t="s">
        <v>19</v>
      </c>
      <c r="D102" s="4" t="s">
        <v>61</v>
      </c>
      <c r="E102" s="14">
        <f>+$B$8</f>
        <v>20</v>
      </c>
      <c r="F102" s="9" t="s">
        <v>19</v>
      </c>
      <c r="G102" s="16"/>
      <c r="K102" s="78" t="s">
        <v>390</v>
      </c>
      <c r="L102" s="79">
        <v>32</v>
      </c>
      <c r="M102" s="79">
        <v>16</v>
      </c>
      <c r="N102" s="80">
        <v>5.556</v>
      </c>
      <c r="O102" s="79">
        <v>4860</v>
      </c>
      <c r="P102" s="79">
        <v>13280</v>
      </c>
      <c r="Q102" s="79">
        <v>79</v>
      </c>
      <c r="R102" s="79">
        <v>107</v>
      </c>
      <c r="S102" s="78" t="s">
        <v>319</v>
      </c>
      <c r="T102" s="89" t="s">
        <v>121</v>
      </c>
      <c r="V102" s="85">
        <v>1.2</v>
      </c>
      <c r="W102" s="86">
        <v>2000</v>
      </c>
      <c r="X102" s="85">
        <v>6</v>
      </c>
      <c r="Y102" s="85">
        <v>6</v>
      </c>
      <c r="Z102" s="86">
        <v>7000</v>
      </c>
      <c r="AA102" s="85">
        <v>12</v>
      </c>
      <c r="AB102" s="38">
        <v>0</v>
      </c>
      <c r="AC102" s="85">
        <v>6.4</v>
      </c>
      <c r="AD102" s="87">
        <v>19</v>
      </c>
      <c r="AE102" s="88">
        <v>55</v>
      </c>
      <c r="AF102" s="78" t="s">
        <v>485</v>
      </c>
    </row>
    <row r="103" spans="1:32" ht="16.2" x14ac:dyDescent="0.3">
      <c r="A103" s="10"/>
      <c r="E103" s="16"/>
      <c r="F103" s="16"/>
      <c r="G103" s="16"/>
      <c r="K103" s="78" t="s">
        <v>391</v>
      </c>
      <c r="L103" s="79">
        <v>32</v>
      </c>
      <c r="M103" s="79">
        <v>16</v>
      </c>
      <c r="N103" s="80">
        <v>6.35</v>
      </c>
      <c r="O103" s="79">
        <v>4520</v>
      </c>
      <c r="P103" s="79">
        <v>11100</v>
      </c>
      <c r="Q103" s="79">
        <v>54</v>
      </c>
      <c r="R103" s="79">
        <v>92</v>
      </c>
      <c r="S103" s="78" t="s">
        <v>319</v>
      </c>
      <c r="T103" s="89" t="s">
        <v>119</v>
      </c>
      <c r="V103" s="85">
        <v>1.6</v>
      </c>
      <c r="W103" s="86">
        <v>3000</v>
      </c>
      <c r="X103" s="85">
        <v>6</v>
      </c>
      <c r="Y103" s="85">
        <v>8</v>
      </c>
      <c r="Z103" s="86">
        <v>7000</v>
      </c>
      <c r="AA103" s="85">
        <v>12</v>
      </c>
      <c r="AB103" s="38">
        <v>0</v>
      </c>
      <c r="AC103" s="85">
        <v>6.4</v>
      </c>
      <c r="AD103" s="87">
        <v>19</v>
      </c>
      <c r="AE103" s="88">
        <v>55</v>
      </c>
      <c r="AF103" s="78" t="s">
        <v>485</v>
      </c>
    </row>
    <row r="104" spans="1:32" ht="16.2" x14ac:dyDescent="0.3">
      <c r="A104" s="4"/>
      <c r="E104" s="16"/>
      <c r="F104" s="16"/>
      <c r="G104" s="16"/>
      <c r="K104" s="78" t="s">
        <v>392</v>
      </c>
      <c r="L104" s="79">
        <v>32</v>
      </c>
      <c r="M104" s="79">
        <v>20</v>
      </c>
      <c r="N104" s="80">
        <v>4.7619999999999996</v>
      </c>
      <c r="O104" s="79">
        <v>1700</v>
      </c>
      <c r="P104" s="79">
        <v>4230</v>
      </c>
      <c r="Q104" s="79">
        <v>34</v>
      </c>
      <c r="R104" s="79">
        <v>70</v>
      </c>
      <c r="S104" s="78" t="s">
        <v>319</v>
      </c>
      <c r="T104" s="89" t="s">
        <v>116</v>
      </c>
      <c r="V104" s="85">
        <v>1.5</v>
      </c>
      <c r="W104" s="86">
        <v>1500</v>
      </c>
      <c r="X104" s="85">
        <v>10</v>
      </c>
      <c r="Y104" s="85">
        <v>6</v>
      </c>
      <c r="Z104" s="86">
        <v>7000</v>
      </c>
      <c r="AA104" s="85">
        <v>12</v>
      </c>
      <c r="AB104" s="38">
        <v>0</v>
      </c>
      <c r="AC104" s="85">
        <v>9.5</v>
      </c>
      <c r="AD104" s="87">
        <v>22</v>
      </c>
      <c r="AE104" s="88">
        <v>56</v>
      </c>
      <c r="AF104" s="78" t="s">
        <v>485</v>
      </c>
    </row>
    <row r="105" spans="1:32" x14ac:dyDescent="0.3">
      <c r="E105" s="16"/>
      <c r="F105" s="16"/>
      <c r="G105" s="16"/>
      <c r="K105" s="78" t="s">
        <v>393</v>
      </c>
      <c r="L105" s="79">
        <v>36</v>
      </c>
      <c r="M105" s="79">
        <v>10</v>
      </c>
      <c r="N105" s="80">
        <v>6.35</v>
      </c>
      <c r="O105" s="79">
        <v>6050</v>
      </c>
      <c r="P105" s="79">
        <v>16460</v>
      </c>
      <c r="Q105" s="79">
        <v>93</v>
      </c>
      <c r="R105" s="79">
        <v>78</v>
      </c>
      <c r="S105" s="78" t="s">
        <v>319</v>
      </c>
      <c r="T105" s="89" t="s">
        <v>113</v>
      </c>
      <c r="V105" s="85">
        <v>2.6</v>
      </c>
      <c r="W105" s="86">
        <v>2500</v>
      </c>
      <c r="X105" s="85">
        <v>10</v>
      </c>
      <c r="Y105" s="85">
        <v>10</v>
      </c>
      <c r="Z105" s="86">
        <v>7000</v>
      </c>
      <c r="AA105" s="85">
        <v>20</v>
      </c>
      <c r="AB105" s="38">
        <v>0</v>
      </c>
      <c r="AC105" s="85">
        <v>11.1</v>
      </c>
      <c r="AD105" s="87">
        <v>22</v>
      </c>
      <c r="AE105" s="88">
        <v>56</v>
      </c>
      <c r="AF105" s="78" t="s">
        <v>485</v>
      </c>
    </row>
    <row r="106" spans="1:32" x14ac:dyDescent="0.3">
      <c r="E106" s="16"/>
      <c r="F106" s="16"/>
      <c r="G106" s="16"/>
      <c r="K106" s="78" t="s">
        <v>394</v>
      </c>
      <c r="L106" s="79">
        <v>36</v>
      </c>
      <c r="M106" s="79">
        <v>16</v>
      </c>
      <c r="N106" s="80">
        <v>6.35</v>
      </c>
      <c r="O106" s="79">
        <v>6050</v>
      </c>
      <c r="P106" s="79">
        <v>16360</v>
      </c>
      <c r="Q106" s="79">
        <v>93</v>
      </c>
      <c r="R106" s="79">
        <v>109</v>
      </c>
      <c r="S106" s="78" t="s">
        <v>319</v>
      </c>
      <c r="T106" s="89" t="s">
        <v>107</v>
      </c>
      <c r="V106" s="85">
        <v>2.2999999999999998</v>
      </c>
      <c r="W106" s="86">
        <v>1500</v>
      </c>
      <c r="X106" s="85">
        <v>15</v>
      </c>
      <c r="Y106" s="85">
        <v>9.5</v>
      </c>
      <c r="Z106" s="86">
        <v>7000</v>
      </c>
      <c r="AA106" s="85">
        <v>20</v>
      </c>
      <c r="AB106" s="38">
        <v>0</v>
      </c>
      <c r="AC106" s="85">
        <v>14.3</v>
      </c>
      <c r="AD106" s="87">
        <v>22</v>
      </c>
      <c r="AE106" s="88">
        <v>56</v>
      </c>
      <c r="AF106" s="78" t="s">
        <v>485</v>
      </c>
    </row>
    <row r="107" spans="1:32" ht="16.2" x14ac:dyDescent="0.3">
      <c r="A107" s="4" t="s">
        <v>60</v>
      </c>
      <c r="B107" s="10"/>
      <c r="E107" s="16"/>
      <c r="F107" s="16"/>
      <c r="G107" s="16"/>
      <c r="K107" s="78" t="s">
        <v>395</v>
      </c>
      <c r="L107" s="79">
        <v>36</v>
      </c>
      <c r="M107" s="79">
        <v>20</v>
      </c>
      <c r="N107" s="80">
        <v>6.35</v>
      </c>
      <c r="O107" s="79">
        <v>4910</v>
      </c>
      <c r="P107" s="79">
        <v>12890</v>
      </c>
      <c r="Q107" s="79">
        <v>76</v>
      </c>
      <c r="R107" s="79">
        <v>109</v>
      </c>
      <c r="S107" s="78" t="s">
        <v>319</v>
      </c>
      <c r="T107" s="89" t="s">
        <v>106</v>
      </c>
      <c r="V107" s="85">
        <v>3.8</v>
      </c>
      <c r="W107" s="86">
        <v>2500</v>
      </c>
      <c r="X107" s="85">
        <v>15</v>
      </c>
      <c r="Y107" s="85">
        <v>17</v>
      </c>
      <c r="Z107" s="86">
        <v>7000</v>
      </c>
      <c r="AA107" s="85">
        <v>34</v>
      </c>
      <c r="AB107" s="38">
        <v>0</v>
      </c>
      <c r="AC107" s="85">
        <v>14.3</v>
      </c>
      <c r="AD107" s="87">
        <v>22</v>
      </c>
      <c r="AE107" s="88">
        <v>56</v>
      </c>
      <c r="AF107" s="78" t="s">
        <v>485</v>
      </c>
    </row>
    <row r="108" spans="1:32" ht="16.2" x14ac:dyDescent="0.3">
      <c r="A108" s="30" t="s">
        <v>59</v>
      </c>
      <c r="B108" s="29" t="s">
        <v>54</v>
      </c>
      <c r="C108" s="29" t="s">
        <v>53</v>
      </c>
      <c r="E108" s="16"/>
      <c r="F108" s="16"/>
      <c r="G108" s="16"/>
      <c r="K108" s="78" t="s">
        <v>396</v>
      </c>
      <c r="L108" s="79">
        <v>38</v>
      </c>
      <c r="M108" s="79">
        <v>10</v>
      </c>
      <c r="N108" s="80">
        <v>6.35</v>
      </c>
      <c r="O108" s="79">
        <v>6260</v>
      </c>
      <c r="P108" s="79">
        <v>17740</v>
      </c>
      <c r="Q108" s="79">
        <v>97</v>
      </c>
      <c r="R108" s="79">
        <v>80</v>
      </c>
      <c r="S108" s="78" t="s">
        <v>319</v>
      </c>
      <c r="T108" s="89" t="s">
        <v>103</v>
      </c>
      <c r="V108" s="85">
        <v>4</v>
      </c>
      <c r="W108" s="86">
        <v>3000</v>
      </c>
      <c r="X108" s="85">
        <v>14</v>
      </c>
      <c r="Y108" s="85">
        <v>17</v>
      </c>
      <c r="Z108" s="86">
        <v>7000</v>
      </c>
      <c r="AA108" s="85">
        <v>34</v>
      </c>
      <c r="AB108" s="38">
        <v>0</v>
      </c>
      <c r="AC108" s="85">
        <v>14.3</v>
      </c>
      <c r="AD108" s="87">
        <v>22</v>
      </c>
      <c r="AE108" s="88">
        <v>56</v>
      </c>
      <c r="AF108" s="78" t="s">
        <v>485</v>
      </c>
    </row>
    <row r="109" spans="1:32" ht="16.2" x14ac:dyDescent="0.3">
      <c r="A109" s="23" t="s">
        <v>58</v>
      </c>
      <c r="B109" s="28">
        <v>5.0999999999999996</v>
      </c>
      <c r="C109" s="28">
        <v>1</v>
      </c>
      <c r="E109" s="16"/>
      <c r="F109" s="16"/>
      <c r="G109" s="16"/>
      <c r="K109" s="78" t="s">
        <v>397</v>
      </c>
      <c r="L109" s="79">
        <v>38</v>
      </c>
      <c r="M109" s="79">
        <v>16</v>
      </c>
      <c r="N109" s="80">
        <v>6.35</v>
      </c>
      <c r="O109" s="79">
        <v>6220</v>
      </c>
      <c r="P109" s="79">
        <v>17350</v>
      </c>
      <c r="Q109" s="79">
        <v>97</v>
      </c>
      <c r="R109" s="79">
        <v>109</v>
      </c>
      <c r="S109" s="78" t="s">
        <v>319</v>
      </c>
      <c r="T109" s="89" t="s">
        <v>102</v>
      </c>
      <c r="V109" s="85">
        <v>1</v>
      </c>
      <c r="W109" s="86">
        <v>2500</v>
      </c>
      <c r="X109" s="85">
        <v>4</v>
      </c>
      <c r="Y109" s="85">
        <v>4</v>
      </c>
      <c r="Z109" s="86">
        <v>7000</v>
      </c>
      <c r="AA109" s="85">
        <v>8</v>
      </c>
      <c r="AB109" s="38">
        <v>0</v>
      </c>
      <c r="AC109" s="85">
        <v>7.4</v>
      </c>
      <c r="AD109" s="87">
        <v>22</v>
      </c>
      <c r="AE109" s="88">
        <v>56</v>
      </c>
      <c r="AF109" s="78" t="s">
        <v>485</v>
      </c>
    </row>
    <row r="110" spans="1:32" ht="16.2" x14ac:dyDescent="0.3">
      <c r="A110" s="23" t="s">
        <v>57</v>
      </c>
      <c r="B110" s="28">
        <v>10.199999999999999</v>
      </c>
      <c r="C110" s="28">
        <v>2</v>
      </c>
      <c r="E110" s="16"/>
      <c r="F110" s="16"/>
      <c r="G110" s="16"/>
      <c r="K110" s="78" t="s">
        <v>398</v>
      </c>
      <c r="L110" s="79">
        <v>40</v>
      </c>
      <c r="M110" s="79">
        <v>10</v>
      </c>
      <c r="N110" s="80">
        <v>6.35</v>
      </c>
      <c r="O110" s="79">
        <v>6430</v>
      </c>
      <c r="P110" s="79">
        <v>18440</v>
      </c>
      <c r="Q110" s="79">
        <v>101</v>
      </c>
      <c r="R110" s="79">
        <v>78</v>
      </c>
      <c r="S110" s="78" t="s">
        <v>319</v>
      </c>
      <c r="T110" s="89" t="s">
        <v>101</v>
      </c>
      <c r="V110" s="85">
        <v>1</v>
      </c>
      <c r="W110" s="86">
        <v>2000</v>
      </c>
      <c r="X110" s="85">
        <v>5</v>
      </c>
      <c r="Y110" s="85">
        <v>5</v>
      </c>
      <c r="Z110" s="86">
        <v>7000</v>
      </c>
      <c r="AA110" s="85">
        <v>10</v>
      </c>
      <c r="AB110" s="38">
        <v>0</v>
      </c>
      <c r="AC110" s="85">
        <v>7.9</v>
      </c>
      <c r="AD110" s="87">
        <v>22</v>
      </c>
      <c r="AE110" s="88">
        <v>56</v>
      </c>
      <c r="AF110" s="78" t="s">
        <v>485</v>
      </c>
    </row>
    <row r="111" spans="1:32" ht="16.2" x14ac:dyDescent="0.3">
      <c r="A111" s="23" t="s">
        <v>56</v>
      </c>
      <c r="B111" s="28">
        <v>1.3</v>
      </c>
      <c r="C111" s="28">
        <v>0.25</v>
      </c>
      <c r="E111" s="16"/>
      <c r="F111" s="16"/>
      <c r="G111" s="16"/>
      <c r="K111" s="78" t="s">
        <v>399</v>
      </c>
      <c r="L111" s="79">
        <v>40</v>
      </c>
      <c r="M111" s="79">
        <v>12</v>
      </c>
      <c r="N111" s="80">
        <v>6</v>
      </c>
      <c r="O111" s="79">
        <v>6420</v>
      </c>
      <c r="P111" s="79">
        <v>18410</v>
      </c>
      <c r="Q111" s="79">
        <v>101</v>
      </c>
      <c r="R111" s="79">
        <v>88</v>
      </c>
      <c r="S111" s="78" t="s">
        <v>43</v>
      </c>
      <c r="T111" s="89" t="s">
        <v>100</v>
      </c>
      <c r="V111" s="85">
        <v>1.3</v>
      </c>
      <c r="W111" s="86">
        <v>2500</v>
      </c>
      <c r="X111" s="85">
        <v>5</v>
      </c>
      <c r="Y111" s="85">
        <v>5</v>
      </c>
      <c r="Z111" s="86">
        <v>7000</v>
      </c>
      <c r="AA111" s="85">
        <v>10</v>
      </c>
      <c r="AB111" s="38">
        <v>0</v>
      </c>
      <c r="AC111" s="85">
        <v>7.9</v>
      </c>
      <c r="AD111" s="87">
        <v>22</v>
      </c>
      <c r="AE111" s="88">
        <v>56</v>
      </c>
      <c r="AF111" s="78" t="s">
        <v>485</v>
      </c>
    </row>
    <row r="112" spans="1:32" ht="16.2" x14ac:dyDescent="0.3">
      <c r="A112" s="23" t="s">
        <v>55</v>
      </c>
      <c r="B112" s="28">
        <v>20.3</v>
      </c>
      <c r="C112" s="28">
        <v>4</v>
      </c>
      <c r="E112" s="16"/>
      <c r="F112" s="16"/>
      <c r="G112" s="16"/>
      <c r="K112" s="78" t="s">
        <v>400</v>
      </c>
      <c r="L112" s="79">
        <v>40</v>
      </c>
      <c r="M112" s="79">
        <v>12</v>
      </c>
      <c r="N112" s="80">
        <v>7.1440000000000001</v>
      </c>
      <c r="O112" s="79">
        <v>7530</v>
      </c>
      <c r="P112" s="79">
        <v>20800</v>
      </c>
      <c r="Q112" s="79">
        <v>103</v>
      </c>
      <c r="R112" s="79">
        <v>110</v>
      </c>
      <c r="S112" s="78" t="s">
        <v>319</v>
      </c>
      <c r="T112" s="89" t="s">
        <v>98</v>
      </c>
      <c r="V112" s="85">
        <v>1.5</v>
      </c>
      <c r="W112" s="86">
        <v>2500</v>
      </c>
      <c r="X112" s="85">
        <v>6</v>
      </c>
      <c r="Y112" s="85">
        <v>6</v>
      </c>
      <c r="Z112" s="86">
        <v>7000</v>
      </c>
      <c r="AA112" s="85">
        <v>12</v>
      </c>
      <c r="AB112" s="38">
        <v>0</v>
      </c>
      <c r="AC112" s="85">
        <v>8.6</v>
      </c>
      <c r="AD112" s="87">
        <v>22</v>
      </c>
      <c r="AE112" s="88">
        <v>56</v>
      </c>
      <c r="AF112" s="78" t="s">
        <v>485</v>
      </c>
    </row>
    <row r="113" spans="1:32" x14ac:dyDescent="0.3">
      <c r="A113" s="31" t="s">
        <v>54</v>
      </c>
      <c r="B113" s="16">
        <f>INDEX($A$109:$C$112,MATCH($A$108,$A$109:$A$112),2)</f>
        <v>10.199999999999999</v>
      </c>
      <c r="C113" s="18"/>
      <c r="E113" s="16"/>
      <c r="F113" s="16"/>
      <c r="G113" s="16"/>
      <c r="K113" s="78" t="s">
        <v>401</v>
      </c>
      <c r="L113" s="79">
        <v>40</v>
      </c>
      <c r="M113" s="79">
        <v>16</v>
      </c>
      <c r="N113" s="80">
        <v>6.35</v>
      </c>
      <c r="O113" s="79">
        <v>6390</v>
      </c>
      <c r="P113" s="79">
        <v>18330</v>
      </c>
      <c r="Q113" s="79">
        <v>101</v>
      </c>
      <c r="R113" s="79">
        <v>108</v>
      </c>
      <c r="S113" s="78" t="s">
        <v>319</v>
      </c>
      <c r="T113" s="89" t="s">
        <v>95</v>
      </c>
      <c r="V113" s="85">
        <v>1.6</v>
      </c>
      <c r="W113" s="86">
        <v>2000</v>
      </c>
      <c r="X113" s="85">
        <v>7.7</v>
      </c>
      <c r="Y113" s="85">
        <v>6</v>
      </c>
      <c r="Z113" s="86">
        <v>7000</v>
      </c>
      <c r="AA113" s="85">
        <v>12</v>
      </c>
      <c r="AB113" s="38">
        <v>0</v>
      </c>
      <c r="AC113" s="85">
        <v>9.5</v>
      </c>
      <c r="AD113" s="87">
        <v>22</v>
      </c>
      <c r="AE113" s="88">
        <v>56</v>
      </c>
      <c r="AF113" s="78" t="s">
        <v>485</v>
      </c>
    </row>
    <row r="114" spans="1:32" x14ac:dyDescent="0.3">
      <c r="A114" s="31" t="s">
        <v>53</v>
      </c>
      <c r="B114" s="16">
        <f>INDEX($A$109:$C$112,MATCH($A$108,$A$109:$A$112),3)</f>
        <v>2</v>
      </c>
      <c r="C114" s="18"/>
      <c r="E114" s="16"/>
      <c r="F114" s="16"/>
      <c r="G114" s="16"/>
      <c r="K114" s="78" t="s">
        <v>402</v>
      </c>
      <c r="L114" s="79">
        <v>40</v>
      </c>
      <c r="M114" s="79">
        <v>16</v>
      </c>
      <c r="N114" s="80">
        <v>7.1440000000000001</v>
      </c>
      <c r="O114" s="79">
        <v>7500</v>
      </c>
      <c r="P114" s="79">
        <v>20730</v>
      </c>
      <c r="Q114" s="79">
        <v>103</v>
      </c>
      <c r="R114" s="79">
        <v>110</v>
      </c>
      <c r="S114" s="78" t="s">
        <v>319</v>
      </c>
      <c r="T114" s="89" t="s">
        <v>94</v>
      </c>
      <c r="V114" s="85">
        <v>2</v>
      </c>
      <c r="W114" s="86">
        <v>2500</v>
      </c>
      <c r="X114" s="85">
        <v>7.7</v>
      </c>
      <c r="Y114" s="85">
        <v>6.9</v>
      </c>
      <c r="Z114" s="86">
        <v>7000</v>
      </c>
      <c r="AA114" s="85">
        <v>14</v>
      </c>
      <c r="AB114" s="38">
        <v>0</v>
      </c>
      <c r="AC114" s="85">
        <v>9.5</v>
      </c>
      <c r="AD114" s="87">
        <v>22</v>
      </c>
      <c r="AE114" s="88">
        <v>48</v>
      </c>
      <c r="AF114" s="78" t="s">
        <v>485</v>
      </c>
    </row>
    <row r="115" spans="1:32" x14ac:dyDescent="0.3">
      <c r="E115" s="16"/>
      <c r="F115" s="16"/>
      <c r="G115" s="16"/>
      <c r="K115" s="78" t="s">
        <v>403</v>
      </c>
      <c r="L115" s="79">
        <v>40</v>
      </c>
      <c r="M115" s="79">
        <v>20</v>
      </c>
      <c r="N115" s="80">
        <v>6.35</v>
      </c>
      <c r="O115" s="79">
        <v>5190</v>
      </c>
      <c r="P115" s="79">
        <v>14450</v>
      </c>
      <c r="Q115" s="79">
        <v>82</v>
      </c>
      <c r="R115" s="79">
        <v>110</v>
      </c>
      <c r="S115" s="78" t="s">
        <v>319</v>
      </c>
      <c r="T115" s="89" t="s">
        <v>92</v>
      </c>
      <c r="V115" s="85">
        <v>2.4</v>
      </c>
      <c r="W115" s="86">
        <v>3000</v>
      </c>
      <c r="X115" s="85">
        <v>7.7</v>
      </c>
      <c r="Y115" s="85">
        <v>9</v>
      </c>
      <c r="Z115" s="86">
        <v>7000</v>
      </c>
      <c r="AA115" s="85">
        <v>18</v>
      </c>
      <c r="AB115" s="38">
        <v>0</v>
      </c>
      <c r="AC115" s="85">
        <v>9.5</v>
      </c>
      <c r="AD115" s="87">
        <v>22</v>
      </c>
      <c r="AE115" s="88">
        <v>56</v>
      </c>
      <c r="AF115" s="78" t="s">
        <v>485</v>
      </c>
    </row>
    <row r="116" spans="1:32" ht="19.8" x14ac:dyDescent="0.3">
      <c r="A116" s="4" t="s">
        <v>52</v>
      </c>
      <c r="B116" s="15">
        <f>+ROUND(((C73*E73+C74*E74+C75*E75+C76*E76+C77*E77+C78*E78+C79*E79)/(100)),0)</f>
        <v>520</v>
      </c>
      <c r="C116" s="9" t="s">
        <v>15</v>
      </c>
      <c r="D116" s="10"/>
      <c r="G116" s="10"/>
      <c r="K116" s="78" t="s">
        <v>404</v>
      </c>
      <c r="L116" s="79">
        <v>45</v>
      </c>
      <c r="M116" s="79">
        <v>10</v>
      </c>
      <c r="N116" s="80">
        <v>6.35</v>
      </c>
      <c r="O116" s="79">
        <v>6910</v>
      </c>
      <c r="P116" s="79">
        <v>21330</v>
      </c>
      <c r="Q116" s="79">
        <v>110</v>
      </c>
      <c r="R116" s="79">
        <v>78</v>
      </c>
      <c r="S116" s="78" t="s">
        <v>43</v>
      </c>
      <c r="T116" s="89" t="s">
        <v>89</v>
      </c>
      <c r="V116" s="85">
        <v>1.7</v>
      </c>
      <c r="W116" s="86">
        <v>1000</v>
      </c>
      <c r="X116" s="85">
        <v>16</v>
      </c>
      <c r="Y116" s="85">
        <v>2.9</v>
      </c>
      <c r="Z116" s="86">
        <v>7000</v>
      </c>
      <c r="AA116" s="85">
        <v>42.1</v>
      </c>
      <c r="AB116" s="38">
        <v>0</v>
      </c>
      <c r="AC116" s="85">
        <v>21</v>
      </c>
      <c r="AD116" s="87">
        <v>24</v>
      </c>
      <c r="AE116" s="88">
        <v>50</v>
      </c>
      <c r="AF116" s="78" t="s">
        <v>485</v>
      </c>
    </row>
    <row r="117" spans="1:32" ht="16.2" x14ac:dyDescent="0.3">
      <c r="A117" s="10"/>
      <c r="K117" s="78" t="s">
        <v>405</v>
      </c>
      <c r="L117" s="79">
        <v>45</v>
      </c>
      <c r="M117" s="79">
        <v>12</v>
      </c>
      <c r="N117" s="80">
        <v>6.35</v>
      </c>
      <c r="O117" s="79">
        <v>6910</v>
      </c>
      <c r="P117" s="79">
        <v>21310</v>
      </c>
      <c r="Q117" s="79">
        <v>110</v>
      </c>
      <c r="R117" s="79">
        <v>89</v>
      </c>
      <c r="S117" s="78" t="s">
        <v>43</v>
      </c>
      <c r="T117" s="89" t="s">
        <v>86</v>
      </c>
      <c r="V117" s="85">
        <v>2.5</v>
      </c>
      <c r="W117" s="86">
        <v>1500</v>
      </c>
      <c r="X117" s="85">
        <v>16</v>
      </c>
      <c r="Y117" s="85">
        <v>4.3</v>
      </c>
      <c r="Z117" s="86">
        <v>7000</v>
      </c>
      <c r="AA117" s="85">
        <v>42.1</v>
      </c>
      <c r="AB117" s="38">
        <v>0</v>
      </c>
      <c r="AC117" s="85">
        <v>21</v>
      </c>
      <c r="AD117" s="87">
        <v>24</v>
      </c>
      <c r="AE117" s="88">
        <v>50</v>
      </c>
      <c r="AF117" s="78" t="s">
        <v>485</v>
      </c>
    </row>
    <row r="118" spans="1:32" x14ac:dyDescent="0.3">
      <c r="K118" s="78" t="s">
        <v>406</v>
      </c>
      <c r="L118" s="79">
        <v>45</v>
      </c>
      <c r="M118" s="79">
        <v>16</v>
      </c>
      <c r="N118" s="80">
        <v>6.35</v>
      </c>
      <c r="O118" s="79">
        <v>6880</v>
      </c>
      <c r="P118" s="79">
        <v>21250</v>
      </c>
      <c r="Q118" s="79">
        <v>110</v>
      </c>
      <c r="R118" s="79">
        <v>111</v>
      </c>
      <c r="S118" s="78" t="s">
        <v>43</v>
      </c>
      <c r="T118" s="89" t="s">
        <v>84</v>
      </c>
      <c r="V118" s="85">
        <v>3.3</v>
      </c>
      <c r="W118" s="86">
        <v>2000</v>
      </c>
      <c r="X118" s="85">
        <v>16</v>
      </c>
      <c r="Y118" s="85">
        <v>5.7</v>
      </c>
      <c r="Z118" s="86">
        <v>7000</v>
      </c>
      <c r="AA118" s="85">
        <v>42.1</v>
      </c>
      <c r="AB118" s="38">
        <v>0</v>
      </c>
      <c r="AC118" s="85">
        <v>21</v>
      </c>
      <c r="AD118" s="87">
        <v>24</v>
      </c>
      <c r="AE118" s="88">
        <v>50</v>
      </c>
      <c r="AF118" s="78" t="s">
        <v>485</v>
      </c>
    </row>
    <row r="119" spans="1:32" x14ac:dyDescent="0.3">
      <c r="D119" s="11">
        <f>+((D73^3+G73+D74^3*G74+D75^3*G75+D76^3*G76+D77^3*G77+D78^3*G78+D79^3*G79)/(G80))^(1/3)</f>
        <v>4768.7037894844225</v>
      </c>
      <c r="F119" s="15">
        <f>+D119/$D$53</f>
        <v>486.10640055906447</v>
      </c>
      <c r="K119" s="78" t="s">
        <v>407</v>
      </c>
      <c r="L119" s="79">
        <v>50</v>
      </c>
      <c r="M119" s="79">
        <v>10</v>
      </c>
      <c r="N119" s="80">
        <v>6.35</v>
      </c>
      <c r="O119" s="79">
        <v>7160</v>
      </c>
      <c r="P119" s="79">
        <v>23320</v>
      </c>
      <c r="Q119" s="79">
        <v>119</v>
      </c>
      <c r="R119" s="79">
        <v>78</v>
      </c>
      <c r="S119" s="78" t="s">
        <v>43</v>
      </c>
      <c r="T119" s="89" t="s">
        <v>84</v>
      </c>
      <c r="V119" s="85">
        <v>3.3</v>
      </c>
      <c r="W119" s="86">
        <v>2000</v>
      </c>
      <c r="X119" s="85">
        <v>16</v>
      </c>
      <c r="Y119" s="85">
        <v>5.7</v>
      </c>
      <c r="Z119" s="86">
        <v>7000</v>
      </c>
      <c r="AA119" s="85">
        <v>42.1</v>
      </c>
      <c r="AB119" s="38">
        <v>0</v>
      </c>
      <c r="AC119" s="85">
        <v>21</v>
      </c>
      <c r="AD119" s="87">
        <v>24</v>
      </c>
      <c r="AE119" s="88">
        <v>50</v>
      </c>
      <c r="AF119" s="78" t="s">
        <v>485</v>
      </c>
    </row>
    <row r="120" spans="1:32" ht="19.8" x14ac:dyDescent="0.3">
      <c r="A120" s="13" t="s">
        <v>50</v>
      </c>
      <c r="B120" s="15">
        <f>+ROUND((D73^3*(C73/B116)*(E73/100)*2^3+D74^3*(C74/B116)*(E74/100)*1.1^3+D75^3*(C75/B116)*(E75/100)*1.1^3+D76^3*(C76/B116)*(E76/100)*2^3+D77^3*(C77/B116)*(E77/100)*1.1^3+D78^3*(C78/B116)*(E78/100)*1.1^3+D79^3*(C79/B116)*(E79/100)*1.1^3)^(1/3)/D53,0)</f>
        <v>595</v>
      </c>
      <c r="C120" s="9" t="s">
        <v>40</v>
      </c>
      <c r="D120" s="15">
        <f>+ROUND(((D73^3*C73*F73+D74^3*C74*F74+D75^3*C75*F75+D76^3*C76*F76+D77^3*C77*F77+D78^3*C78*F78+D79^3*C79*F79)/(C73*F73+C74*F74+C75*F75+C76*F76+C77*F77+C78*F78+C79*F79))^(1/3),0)</f>
        <v>4795</v>
      </c>
      <c r="E120" s="9" t="s">
        <v>0</v>
      </c>
      <c r="F120" s="15">
        <f>+D120/$D$53</f>
        <v>488.78695208970436</v>
      </c>
      <c r="G120" s="9" t="s">
        <v>40</v>
      </c>
      <c r="K120" s="78" t="s">
        <v>408</v>
      </c>
      <c r="L120" s="79">
        <v>50</v>
      </c>
      <c r="M120" s="79">
        <v>12</v>
      </c>
      <c r="N120" s="80">
        <v>6.35</v>
      </c>
      <c r="O120" s="79">
        <v>7150</v>
      </c>
      <c r="P120" s="79">
        <v>23300</v>
      </c>
      <c r="Q120" s="79">
        <v>119</v>
      </c>
      <c r="R120" s="79">
        <v>90</v>
      </c>
      <c r="S120" s="78" t="s">
        <v>43</v>
      </c>
      <c r="T120" s="89" t="s">
        <v>84</v>
      </c>
      <c r="V120" s="85">
        <v>3.3</v>
      </c>
      <c r="W120" s="86">
        <v>2000</v>
      </c>
      <c r="X120" s="85">
        <v>16</v>
      </c>
      <c r="Y120" s="85">
        <v>5.7</v>
      </c>
      <c r="Z120" s="86">
        <v>7000</v>
      </c>
      <c r="AA120" s="85">
        <v>42.1</v>
      </c>
      <c r="AB120" s="38">
        <v>0</v>
      </c>
      <c r="AC120" s="85">
        <v>21</v>
      </c>
      <c r="AD120" s="87">
        <v>24</v>
      </c>
      <c r="AE120" s="88">
        <v>50</v>
      </c>
      <c r="AF120" s="78" t="s">
        <v>485</v>
      </c>
    </row>
    <row r="121" spans="1:32" ht="16.2" x14ac:dyDescent="0.3">
      <c r="A121" s="10"/>
      <c r="D121" s="10"/>
      <c r="K121" s="78" t="s">
        <v>409</v>
      </c>
      <c r="L121" s="79">
        <v>50</v>
      </c>
      <c r="M121" s="79">
        <v>16</v>
      </c>
      <c r="N121" s="80">
        <v>6.35</v>
      </c>
      <c r="O121" s="79">
        <v>7120</v>
      </c>
      <c r="P121" s="79">
        <v>23250</v>
      </c>
      <c r="Q121" s="79">
        <v>119</v>
      </c>
      <c r="R121" s="79">
        <v>109</v>
      </c>
      <c r="S121" s="78" t="s">
        <v>43</v>
      </c>
      <c r="T121" s="89" t="s">
        <v>84</v>
      </c>
      <c r="V121" s="85">
        <v>3.3</v>
      </c>
      <c r="W121" s="86">
        <v>2000</v>
      </c>
      <c r="X121" s="85">
        <v>16</v>
      </c>
      <c r="Y121" s="85">
        <v>5.7</v>
      </c>
      <c r="Z121" s="86">
        <v>7000</v>
      </c>
      <c r="AA121" s="85">
        <v>42.1</v>
      </c>
      <c r="AB121" s="38">
        <v>0</v>
      </c>
      <c r="AC121" s="85">
        <v>21</v>
      </c>
      <c r="AD121" s="87">
        <v>24</v>
      </c>
      <c r="AE121" s="88">
        <v>50</v>
      </c>
      <c r="AF121" s="78" t="s">
        <v>485</v>
      </c>
    </row>
    <row r="122" spans="1:32" x14ac:dyDescent="0.3">
      <c r="K122" s="78" t="s">
        <v>410</v>
      </c>
      <c r="L122" s="79">
        <v>50</v>
      </c>
      <c r="M122" s="79">
        <v>20</v>
      </c>
      <c r="N122" s="80">
        <v>7.9379999999999997</v>
      </c>
      <c r="O122" s="79">
        <v>7810</v>
      </c>
      <c r="P122" s="79">
        <v>22680</v>
      </c>
      <c r="Q122" s="79">
        <v>101</v>
      </c>
      <c r="R122" s="79">
        <v>114</v>
      </c>
      <c r="S122" s="78" t="s">
        <v>43</v>
      </c>
      <c r="T122" s="89" t="s">
        <v>83</v>
      </c>
      <c r="V122" s="85">
        <v>5</v>
      </c>
      <c r="W122" s="86">
        <v>3000</v>
      </c>
      <c r="X122" s="85">
        <v>16</v>
      </c>
      <c r="Y122" s="85">
        <v>8.6</v>
      </c>
      <c r="Z122" s="86">
        <v>7000</v>
      </c>
      <c r="AA122" s="85">
        <v>42.1</v>
      </c>
      <c r="AB122" s="38">
        <v>0</v>
      </c>
      <c r="AC122" s="85">
        <v>21</v>
      </c>
      <c r="AD122" s="87">
        <v>24</v>
      </c>
      <c r="AE122" s="88">
        <v>50</v>
      </c>
      <c r="AF122" s="78" t="s">
        <v>485</v>
      </c>
    </row>
    <row r="123" spans="1:32" ht="16.2" x14ac:dyDescent="0.3">
      <c r="A123" s="10"/>
      <c r="K123" s="78" t="s">
        <v>411</v>
      </c>
      <c r="L123" s="79">
        <v>55</v>
      </c>
      <c r="M123" s="79">
        <v>12</v>
      </c>
      <c r="N123" s="80">
        <v>6.35</v>
      </c>
      <c r="O123" s="79">
        <v>7340</v>
      </c>
      <c r="P123" s="79">
        <v>25280</v>
      </c>
      <c r="Q123" s="79">
        <v>128</v>
      </c>
      <c r="R123" s="79">
        <v>96</v>
      </c>
      <c r="S123" s="78" t="s">
        <v>43</v>
      </c>
      <c r="T123" s="89" t="s">
        <v>82</v>
      </c>
      <c r="V123" s="85">
        <v>7</v>
      </c>
      <c r="W123" s="86">
        <v>1500</v>
      </c>
      <c r="X123" s="85">
        <v>45</v>
      </c>
      <c r="Y123" s="85">
        <v>11.2</v>
      </c>
      <c r="Z123" s="86">
        <v>7000</v>
      </c>
      <c r="AA123" s="85">
        <v>108</v>
      </c>
      <c r="AB123" s="38">
        <v>0</v>
      </c>
      <c r="AC123" s="85">
        <v>30</v>
      </c>
      <c r="AD123" s="87">
        <v>24</v>
      </c>
      <c r="AE123" s="88">
        <v>60</v>
      </c>
      <c r="AF123" s="78" t="s">
        <v>485</v>
      </c>
    </row>
    <row r="124" spans="1:32" s="10" customFormat="1" ht="16.2" x14ac:dyDescent="0.3">
      <c r="A124" s="4" t="s">
        <v>49</v>
      </c>
      <c r="B124" s="16"/>
      <c r="C124" s="9"/>
      <c r="K124" s="78" t="s">
        <v>412</v>
      </c>
      <c r="L124" s="79">
        <v>45</v>
      </c>
      <c r="M124" s="79">
        <v>12</v>
      </c>
      <c r="N124" s="80">
        <v>10</v>
      </c>
      <c r="O124" s="79">
        <v>13600</v>
      </c>
      <c r="P124" s="79">
        <v>35400</v>
      </c>
      <c r="Q124" s="79"/>
      <c r="R124" s="79">
        <v>98</v>
      </c>
      <c r="S124" s="78" t="s">
        <v>43</v>
      </c>
      <c r="T124" s="89" t="s">
        <v>550</v>
      </c>
      <c r="U124" s="9"/>
      <c r="V124" s="85">
        <v>13</v>
      </c>
      <c r="W124" s="87">
        <v>3000</v>
      </c>
      <c r="X124" s="88">
        <v>45</v>
      </c>
      <c r="Y124" s="85">
        <v>22.4</v>
      </c>
      <c r="Z124" s="87">
        <v>7000</v>
      </c>
      <c r="AA124" s="88">
        <v>108</v>
      </c>
      <c r="AB124" s="38">
        <v>0</v>
      </c>
      <c r="AC124" s="85">
        <v>30</v>
      </c>
      <c r="AD124" s="87">
        <v>24</v>
      </c>
      <c r="AE124" s="88">
        <v>60</v>
      </c>
      <c r="AF124" s="78" t="s">
        <v>485</v>
      </c>
    </row>
    <row r="125" spans="1:32" s="10" customFormat="1" ht="19.8" x14ac:dyDescent="0.3">
      <c r="A125" s="30" t="s">
        <v>48</v>
      </c>
      <c r="B125" s="29" t="s">
        <v>47</v>
      </c>
      <c r="C125" s="29" t="s">
        <v>46</v>
      </c>
      <c r="K125" s="78" t="s">
        <v>413</v>
      </c>
      <c r="L125" s="79">
        <v>45</v>
      </c>
      <c r="M125" s="79">
        <v>16</v>
      </c>
      <c r="N125" s="80">
        <v>10</v>
      </c>
      <c r="O125" s="79">
        <v>13500</v>
      </c>
      <c r="P125" s="79">
        <v>35300</v>
      </c>
      <c r="Q125" s="79"/>
      <c r="R125" s="79">
        <v>122</v>
      </c>
      <c r="S125" s="78" t="s">
        <v>43</v>
      </c>
      <c r="T125" s="89" t="s">
        <v>80</v>
      </c>
      <c r="U125" s="9"/>
      <c r="V125" s="85">
        <v>7.1</v>
      </c>
      <c r="W125" s="86">
        <v>1500</v>
      </c>
      <c r="X125" s="85">
        <v>45</v>
      </c>
      <c r="Y125" s="85">
        <v>13.5</v>
      </c>
      <c r="Z125" s="86">
        <v>4000</v>
      </c>
      <c r="AA125" s="85">
        <v>121.5</v>
      </c>
      <c r="AB125" s="38">
        <v>0</v>
      </c>
      <c r="AC125" s="85">
        <v>35</v>
      </c>
      <c r="AD125" s="87">
        <v>42</v>
      </c>
      <c r="AE125" s="88">
        <v>80</v>
      </c>
      <c r="AF125" s="78" t="s">
        <v>485</v>
      </c>
    </row>
    <row r="126" spans="1:32" s="10" customFormat="1" ht="16.2" x14ac:dyDescent="0.3">
      <c r="A126" s="23" t="s">
        <v>45</v>
      </c>
      <c r="B126" s="28">
        <v>1.3</v>
      </c>
      <c r="C126" s="28">
        <v>1.8</v>
      </c>
      <c r="K126" s="78" t="s">
        <v>414</v>
      </c>
      <c r="L126" s="79">
        <v>45</v>
      </c>
      <c r="M126" s="79">
        <v>20</v>
      </c>
      <c r="N126" s="80">
        <v>10</v>
      </c>
      <c r="O126" s="79">
        <v>11000</v>
      </c>
      <c r="P126" s="79">
        <v>27900</v>
      </c>
      <c r="Q126" s="79"/>
      <c r="R126" s="79">
        <v>122</v>
      </c>
      <c r="S126" s="78" t="s">
        <v>43</v>
      </c>
      <c r="T126" s="89" t="s">
        <v>551</v>
      </c>
      <c r="U126" s="9"/>
      <c r="V126" s="85">
        <v>14.25</v>
      </c>
      <c r="W126" s="86">
        <v>3000</v>
      </c>
      <c r="X126" s="85">
        <v>45</v>
      </c>
      <c r="Y126" s="85">
        <v>27</v>
      </c>
      <c r="Z126" s="86">
        <v>4000</v>
      </c>
      <c r="AA126" s="85">
        <v>121.5</v>
      </c>
      <c r="AB126" s="38">
        <v>0</v>
      </c>
      <c r="AC126" s="85">
        <v>35</v>
      </c>
      <c r="AD126" s="87">
        <v>42</v>
      </c>
      <c r="AE126" s="88">
        <v>80</v>
      </c>
      <c r="AF126" s="78" t="s">
        <v>485</v>
      </c>
    </row>
    <row r="127" spans="1:32" s="10" customFormat="1" ht="16.2" x14ac:dyDescent="0.3">
      <c r="A127" s="23" t="s">
        <v>44</v>
      </c>
      <c r="B127" s="28">
        <v>1.1000000000000001</v>
      </c>
      <c r="C127" s="28">
        <v>1.2</v>
      </c>
      <c r="K127" s="78" t="s">
        <v>415</v>
      </c>
      <c r="L127" s="79">
        <v>50</v>
      </c>
      <c r="M127" s="79">
        <v>16</v>
      </c>
      <c r="N127" s="80">
        <v>13</v>
      </c>
      <c r="O127" s="79">
        <v>21100</v>
      </c>
      <c r="P127" s="79">
        <v>53700</v>
      </c>
      <c r="Q127" s="79"/>
      <c r="R127" s="79">
        <v>125</v>
      </c>
      <c r="S127" s="78" t="s">
        <v>43</v>
      </c>
      <c r="T127" s="89" t="s">
        <v>552</v>
      </c>
      <c r="U127" s="9"/>
      <c r="V127" s="85">
        <v>8.3000000000000007</v>
      </c>
      <c r="W127" s="86">
        <v>1500</v>
      </c>
      <c r="X127" s="85">
        <v>52</v>
      </c>
      <c r="Y127" s="85">
        <v>15.8</v>
      </c>
      <c r="Z127" s="86">
        <v>4000</v>
      </c>
      <c r="AA127" s="85">
        <v>140.9</v>
      </c>
      <c r="AB127" s="38">
        <v>0</v>
      </c>
      <c r="AC127" s="85">
        <v>45</v>
      </c>
      <c r="AD127" s="87">
        <v>42</v>
      </c>
      <c r="AE127" s="88">
        <v>80</v>
      </c>
      <c r="AF127" s="78" t="s">
        <v>485</v>
      </c>
    </row>
    <row r="128" spans="1:32" s="10" customFormat="1" ht="16.2" x14ac:dyDescent="0.3">
      <c r="A128" s="23" t="s">
        <v>42</v>
      </c>
      <c r="B128" s="28">
        <v>2</v>
      </c>
      <c r="C128" s="28">
        <v>3</v>
      </c>
      <c r="K128" s="78" t="s">
        <v>416</v>
      </c>
      <c r="L128" s="79">
        <v>50</v>
      </c>
      <c r="M128" s="79">
        <v>20</v>
      </c>
      <c r="N128" s="80">
        <v>13</v>
      </c>
      <c r="O128" s="79">
        <v>17200</v>
      </c>
      <c r="P128" s="79">
        <v>42400</v>
      </c>
      <c r="Q128" s="79"/>
      <c r="R128" s="79">
        <v>124</v>
      </c>
      <c r="S128" s="78" t="s">
        <v>43</v>
      </c>
      <c r="T128" s="89" t="s">
        <v>553</v>
      </c>
      <c r="U128" s="9"/>
      <c r="V128" s="85">
        <v>16.5</v>
      </c>
      <c r="W128" s="86">
        <v>3000</v>
      </c>
      <c r="X128" s="85">
        <v>52</v>
      </c>
      <c r="Y128" s="85">
        <v>31.5</v>
      </c>
      <c r="Z128" s="86">
        <v>4000</v>
      </c>
      <c r="AA128" s="85">
        <v>140.9</v>
      </c>
      <c r="AB128" s="38">
        <v>0</v>
      </c>
      <c r="AC128" s="85">
        <v>45</v>
      </c>
      <c r="AD128" s="87">
        <v>42</v>
      </c>
      <c r="AE128" s="88">
        <v>80</v>
      </c>
      <c r="AF128" s="78" t="s">
        <v>485</v>
      </c>
    </row>
    <row r="129" spans="1:32" s="10" customFormat="1" ht="16.8" thickBot="1" x14ac:dyDescent="0.35">
      <c r="A129" s="20"/>
      <c r="B129" s="27"/>
      <c r="C129" s="27"/>
      <c r="K129" s="78" t="s">
        <v>417</v>
      </c>
      <c r="L129" s="79">
        <v>63</v>
      </c>
      <c r="M129" s="79">
        <v>32</v>
      </c>
      <c r="N129" s="80">
        <v>16</v>
      </c>
      <c r="O129" s="79">
        <v>25500</v>
      </c>
      <c r="P129" s="79">
        <v>66000</v>
      </c>
      <c r="Q129" s="79"/>
      <c r="R129" s="79">
        <v>176</v>
      </c>
      <c r="S129" s="78" t="s">
        <v>43</v>
      </c>
      <c r="T129" s="78" t="s">
        <v>554</v>
      </c>
      <c r="U129" s="9" t="s">
        <v>564</v>
      </c>
      <c r="V129" s="85">
        <v>0.05</v>
      </c>
      <c r="W129" s="86">
        <v>3000</v>
      </c>
      <c r="X129" s="85">
        <v>0.16</v>
      </c>
      <c r="Y129" s="85">
        <v>0.43</v>
      </c>
      <c r="Z129" s="86">
        <v>6000</v>
      </c>
      <c r="AA129" s="85">
        <v>0.48</v>
      </c>
      <c r="AB129" s="38">
        <v>2.7</v>
      </c>
      <c r="AC129" s="85">
        <v>0.55000000000000004</v>
      </c>
      <c r="AD129" s="87">
        <v>8</v>
      </c>
      <c r="AE129" s="88">
        <v>21.5</v>
      </c>
      <c r="AF129" s="78" t="s">
        <v>555</v>
      </c>
    </row>
    <row r="130" spans="1:32" ht="20.399999999999999" thickBot="1" x14ac:dyDescent="0.35">
      <c r="A130" s="4" t="s">
        <v>41</v>
      </c>
      <c r="B130" s="25">
        <f>+(B69*60*B116)^0.333333333333333*F120*B138*10^-2</f>
        <v>2569.9213680067041</v>
      </c>
      <c r="C130" s="9" t="s">
        <v>40</v>
      </c>
      <c r="D130" s="14">
        <f>+B10</f>
        <v>2560</v>
      </c>
      <c r="F130" s="26"/>
      <c r="K130" s="78" t="s">
        <v>418</v>
      </c>
      <c r="L130" s="79">
        <v>63</v>
      </c>
      <c r="M130" s="79">
        <v>40</v>
      </c>
      <c r="N130" s="80">
        <v>16</v>
      </c>
      <c r="O130" s="79">
        <v>35300</v>
      </c>
      <c r="P130" s="79">
        <v>96600</v>
      </c>
      <c r="Q130" s="79"/>
      <c r="R130" s="79">
        <v>169</v>
      </c>
      <c r="S130" s="78" t="s">
        <v>43</v>
      </c>
      <c r="T130" s="78" t="s">
        <v>556</v>
      </c>
      <c r="U130" s="9" t="s">
        <v>564</v>
      </c>
      <c r="V130" s="85">
        <v>0.1</v>
      </c>
      <c r="W130" s="86">
        <v>3000</v>
      </c>
      <c r="X130" s="85">
        <v>0.3</v>
      </c>
      <c r="Y130" s="85">
        <v>0.85</v>
      </c>
      <c r="Z130" s="86">
        <v>6000</v>
      </c>
      <c r="AA130" s="85">
        <v>0.96</v>
      </c>
      <c r="AB130" s="38">
        <v>2.7</v>
      </c>
      <c r="AC130" s="85">
        <v>0.67</v>
      </c>
      <c r="AD130" s="87">
        <v>8</v>
      </c>
      <c r="AE130" s="88">
        <v>21.5</v>
      </c>
      <c r="AF130" s="78" t="s">
        <v>555</v>
      </c>
    </row>
    <row r="131" spans="1:32" ht="16.2" x14ac:dyDescent="0.3">
      <c r="A131" s="10"/>
      <c r="K131" s="78" t="s">
        <v>419</v>
      </c>
      <c r="L131" s="79">
        <v>80</v>
      </c>
      <c r="M131" s="79">
        <v>50</v>
      </c>
      <c r="N131" s="80">
        <v>19</v>
      </c>
      <c r="O131" s="79">
        <v>66600</v>
      </c>
      <c r="P131" s="79">
        <v>204000</v>
      </c>
      <c r="Q131" s="79"/>
      <c r="R131" s="79">
        <v>255</v>
      </c>
      <c r="S131" s="78" t="s">
        <v>43</v>
      </c>
      <c r="T131" s="78" t="s">
        <v>557</v>
      </c>
      <c r="U131" s="9" t="s">
        <v>565</v>
      </c>
      <c r="V131" s="85">
        <v>0.2</v>
      </c>
      <c r="W131" s="86">
        <v>3000</v>
      </c>
      <c r="X131" s="85">
        <v>0.64</v>
      </c>
      <c r="Y131" s="85">
        <v>1.7</v>
      </c>
      <c r="Z131" s="86">
        <v>6000</v>
      </c>
      <c r="AA131" s="85">
        <v>1.92</v>
      </c>
      <c r="AB131" s="38">
        <v>5.2</v>
      </c>
      <c r="AC131" s="85">
        <v>1.23</v>
      </c>
      <c r="AD131" s="87">
        <v>14</v>
      </c>
      <c r="AE131" s="88">
        <v>25</v>
      </c>
      <c r="AF131" s="78" t="s">
        <v>555</v>
      </c>
    </row>
    <row r="132" spans="1:32" x14ac:dyDescent="0.3">
      <c r="K132" s="78" t="s">
        <v>420</v>
      </c>
      <c r="L132" s="79">
        <v>100</v>
      </c>
      <c r="M132" s="79">
        <v>60</v>
      </c>
      <c r="N132" s="80">
        <v>19</v>
      </c>
      <c r="O132" s="79">
        <v>73400</v>
      </c>
      <c r="P132" s="79">
        <v>251500</v>
      </c>
      <c r="Q132" s="79"/>
      <c r="R132" s="79">
        <v>295</v>
      </c>
      <c r="S132" s="78" t="s">
        <v>43</v>
      </c>
      <c r="T132" s="78" t="s">
        <v>558</v>
      </c>
      <c r="U132" s="9" t="s">
        <v>566</v>
      </c>
      <c r="V132" s="85">
        <v>0.4</v>
      </c>
      <c r="W132" s="86">
        <v>3000</v>
      </c>
      <c r="X132" s="85">
        <v>1.27</v>
      </c>
      <c r="Y132" s="85">
        <v>2.8</v>
      </c>
      <c r="Z132" s="86">
        <v>6000</v>
      </c>
      <c r="AA132" s="85">
        <v>3.81</v>
      </c>
      <c r="AB132" s="38">
        <v>9</v>
      </c>
      <c r="AC132" s="85">
        <v>1.59</v>
      </c>
      <c r="AD132" s="87">
        <v>14</v>
      </c>
      <c r="AE132" s="88">
        <v>25</v>
      </c>
      <c r="AF132" s="78" t="s">
        <v>555</v>
      </c>
    </row>
    <row r="133" spans="1:32" ht="15.6" thickBot="1" x14ac:dyDescent="0.35">
      <c r="K133" s="78" t="s">
        <v>421</v>
      </c>
      <c r="L133" s="79">
        <v>40</v>
      </c>
      <c r="M133" s="79">
        <v>10</v>
      </c>
      <c r="N133" s="80">
        <v>7.9379999999999997</v>
      </c>
      <c r="O133" s="79">
        <v>15000</v>
      </c>
      <c r="P133" s="79">
        <v>41800</v>
      </c>
      <c r="Q133" s="79"/>
      <c r="R133" s="79">
        <v>124</v>
      </c>
      <c r="S133" s="78" t="s">
        <v>43</v>
      </c>
      <c r="T133" s="78" t="s">
        <v>559</v>
      </c>
      <c r="U133" s="9" t="s">
        <v>567</v>
      </c>
      <c r="V133" s="85">
        <v>0.75</v>
      </c>
      <c r="W133" s="86">
        <v>3000</v>
      </c>
      <c r="X133" s="85">
        <v>2.4</v>
      </c>
      <c r="Y133" s="85">
        <v>5.8</v>
      </c>
      <c r="Z133" s="86">
        <v>6000</v>
      </c>
      <c r="AA133" s="85">
        <v>7.2</v>
      </c>
      <c r="AB133" s="38">
        <v>18.5</v>
      </c>
      <c r="AC133" s="85">
        <v>2.87</v>
      </c>
      <c r="AD133" s="87">
        <v>19</v>
      </c>
      <c r="AE133" s="88">
        <v>35.5</v>
      </c>
      <c r="AF133" s="78" t="s">
        <v>555</v>
      </c>
    </row>
    <row r="134" spans="1:32" ht="20.399999999999999" thickBot="1" x14ac:dyDescent="0.35">
      <c r="A134" s="4" t="s">
        <v>39</v>
      </c>
      <c r="B134" s="25">
        <f>+(B10/(F120*B138))^3*(1/(60*B116))*10^6</f>
        <v>3459.6202785788432</v>
      </c>
      <c r="C134" s="9" t="s">
        <v>38</v>
      </c>
      <c r="D134" s="14">
        <f>+B69</f>
        <v>3500</v>
      </c>
      <c r="E134" s="11"/>
      <c r="K134" s="78" t="s">
        <v>422</v>
      </c>
      <c r="L134" s="79">
        <v>40</v>
      </c>
      <c r="M134" s="79">
        <v>12</v>
      </c>
      <c r="N134" s="80">
        <v>10</v>
      </c>
      <c r="O134" s="79">
        <v>18600</v>
      </c>
      <c r="P134" s="79">
        <v>48200</v>
      </c>
      <c r="Q134" s="79"/>
      <c r="R134" s="79">
        <v>156</v>
      </c>
      <c r="S134" s="78" t="s">
        <v>43</v>
      </c>
      <c r="T134" s="78" t="s">
        <v>560</v>
      </c>
      <c r="U134" s="9" t="s">
        <v>568</v>
      </c>
      <c r="V134" s="85">
        <v>1</v>
      </c>
      <c r="W134" s="86">
        <v>2000</v>
      </c>
      <c r="X134" s="85">
        <v>4.78</v>
      </c>
      <c r="Y134" s="85">
        <v>5.8</v>
      </c>
      <c r="Z134" s="86">
        <v>3500</v>
      </c>
      <c r="AA134" s="85">
        <v>14.4</v>
      </c>
      <c r="AB134" s="38">
        <v>17.399999999999999</v>
      </c>
      <c r="AC134" s="85">
        <v>7.4</v>
      </c>
      <c r="AD134" s="87">
        <v>24</v>
      </c>
      <c r="AE134" s="88">
        <v>50</v>
      </c>
      <c r="AF134" s="78" t="s">
        <v>555</v>
      </c>
    </row>
    <row r="135" spans="1:32" ht="16.2" x14ac:dyDescent="0.3">
      <c r="A135" s="10"/>
      <c r="F135" s="11"/>
      <c r="K135" s="78" t="s">
        <v>423</v>
      </c>
      <c r="L135" s="79">
        <v>50</v>
      </c>
      <c r="M135" s="79">
        <v>10</v>
      </c>
      <c r="N135" s="80">
        <v>7.9379999999999997</v>
      </c>
      <c r="O135" s="79">
        <v>16700</v>
      </c>
      <c r="P135" s="79">
        <v>63700</v>
      </c>
      <c r="Q135" s="79"/>
      <c r="R135" s="79">
        <v>133</v>
      </c>
      <c r="S135" s="78" t="s">
        <v>43</v>
      </c>
      <c r="T135" s="78" t="s">
        <v>561</v>
      </c>
      <c r="U135" s="9" t="s">
        <v>569</v>
      </c>
      <c r="V135" s="85">
        <v>1.5</v>
      </c>
      <c r="W135" s="86">
        <v>2000</v>
      </c>
      <c r="X135" s="85">
        <v>7.16</v>
      </c>
      <c r="Y135" s="85">
        <v>8.5</v>
      </c>
      <c r="Z135" s="86">
        <v>3500</v>
      </c>
      <c r="AA135" s="85">
        <v>21.6</v>
      </c>
      <c r="AB135" s="38">
        <v>25.2</v>
      </c>
      <c r="AC135" s="85">
        <v>8.6999999999999993</v>
      </c>
      <c r="AD135" s="87">
        <v>24</v>
      </c>
      <c r="AE135" s="88">
        <v>50</v>
      </c>
      <c r="AF135" s="78" t="s">
        <v>555</v>
      </c>
    </row>
    <row r="136" spans="1:32" x14ac:dyDescent="0.3">
      <c r="K136" s="78" t="s">
        <v>424</v>
      </c>
      <c r="L136" s="79">
        <v>50</v>
      </c>
      <c r="M136" s="79">
        <v>16</v>
      </c>
      <c r="N136" s="80">
        <v>12.7</v>
      </c>
      <c r="O136" s="79">
        <v>31200</v>
      </c>
      <c r="P136" s="79">
        <v>83500</v>
      </c>
      <c r="Q136" s="79"/>
      <c r="R136" s="79">
        <v>200</v>
      </c>
      <c r="S136" s="78" t="s">
        <v>43</v>
      </c>
      <c r="T136" s="78" t="s">
        <v>562</v>
      </c>
      <c r="U136" s="9" t="s">
        <v>570</v>
      </c>
      <c r="V136" s="85">
        <v>2</v>
      </c>
      <c r="W136" s="86">
        <v>2000</v>
      </c>
      <c r="X136" s="85">
        <v>9.5500000000000007</v>
      </c>
      <c r="Y136" s="85">
        <v>11</v>
      </c>
      <c r="Z136" s="86">
        <v>3500</v>
      </c>
      <c r="AA136" s="85">
        <v>28.5</v>
      </c>
      <c r="AB136" s="38">
        <v>33</v>
      </c>
      <c r="AC136" s="85">
        <v>9.9</v>
      </c>
      <c r="AD136" s="87">
        <v>24</v>
      </c>
      <c r="AE136" s="88">
        <v>50</v>
      </c>
      <c r="AF136" s="78" t="s">
        <v>555</v>
      </c>
    </row>
    <row r="137" spans="1:32" x14ac:dyDescent="0.3">
      <c r="K137" s="78" t="s">
        <v>425</v>
      </c>
      <c r="L137" s="79">
        <v>50</v>
      </c>
      <c r="M137" s="79">
        <v>16</v>
      </c>
      <c r="N137" s="80">
        <v>12.7</v>
      </c>
      <c r="O137" s="79">
        <v>24800</v>
      </c>
      <c r="P137" s="79">
        <v>63700</v>
      </c>
      <c r="Q137" s="79"/>
      <c r="R137" s="79">
        <v>168</v>
      </c>
      <c r="S137" s="78" t="s">
        <v>43</v>
      </c>
      <c r="T137" s="78" t="s">
        <v>563</v>
      </c>
      <c r="U137" s="9" t="s">
        <v>571</v>
      </c>
      <c r="V137" s="85">
        <v>3</v>
      </c>
      <c r="W137" s="86">
        <v>2000</v>
      </c>
      <c r="X137" s="85">
        <v>14.3</v>
      </c>
      <c r="Y137" s="85">
        <v>16</v>
      </c>
      <c r="Z137" s="86">
        <v>3500</v>
      </c>
      <c r="AA137" s="85">
        <v>43</v>
      </c>
      <c r="AB137" s="38">
        <v>48</v>
      </c>
      <c r="AC137" s="85">
        <v>12.4</v>
      </c>
      <c r="AD137" s="87">
        <v>24</v>
      </c>
      <c r="AE137" s="88">
        <v>50</v>
      </c>
      <c r="AF137" s="78" t="s">
        <v>555</v>
      </c>
    </row>
    <row r="138" spans="1:32" ht="19.8" x14ac:dyDescent="0.3">
      <c r="A138" s="4" t="s">
        <v>37</v>
      </c>
      <c r="B138" s="24">
        <v>1.1000000000000001</v>
      </c>
      <c r="D138" s="9">
        <v>1.1000000000000001</v>
      </c>
      <c r="K138" s="78" t="s">
        <v>426</v>
      </c>
      <c r="L138" s="79">
        <v>50</v>
      </c>
      <c r="M138" s="79">
        <v>20</v>
      </c>
      <c r="N138" s="80">
        <v>13</v>
      </c>
      <c r="O138" s="79">
        <v>31200</v>
      </c>
      <c r="P138" s="79">
        <v>84800</v>
      </c>
      <c r="Q138" s="79"/>
      <c r="R138" s="79">
        <v>235</v>
      </c>
      <c r="S138" s="78" t="s">
        <v>43</v>
      </c>
    </row>
    <row r="139" spans="1:32" ht="16.2" x14ac:dyDescent="0.3">
      <c r="A139" s="23" t="s">
        <v>36</v>
      </c>
      <c r="B139" s="97" t="s">
        <v>35</v>
      </c>
      <c r="C139" s="97"/>
      <c r="K139" s="78" t="s">
        <v>427</v>
      </c>
      <c r="L139" s="79">
        <v>55</v>
      </c>
      <c r="M139" s="79">
        <v>10</v>
      </c>
      <c r="N139" s="80">
        <v>7.9379999999999997</v>
      </c>
      <c r="O139" s="79">
        <v>17500</v>
      </c>
      <c r="P139" s="79">
        <v>58500</v>
      </c>
      <c r="Q139" s="79"/>
      <c r="R139" s="79">
        <v>153</v>
      </c>
      <c r="S139" s="78" t="s">
        <v>43</v>
      </c>
    </row>
    <row r="140" spans="1:32" ht="16.2" x14ac:dyDescent="0.3">
      <c r="A140" s="23" t="s">
        <v>34</v>
      </c>
      <c r="B140" s="22">
        <v>1</v>
      </c>
      <c r="C140" s="21">
        <v>1.2</v>
      </c>
      <c r="K140" s="78" t="s">
        <v>428</v>
      </c>
      <c r="L140" s="79">
        <v>55</v>
      </c>
      <c r="M140" s="79">
        <v>16</v>
      </c>
      <c r="N140" s="80">
        <v>12.7</v>
      </c>
      <c r="O140" s="79">
        <v>32600</v>
      </c>
      <c r="P140" s="79">
        <v>94000</v>
      </c>
      <c r="Q140" s="79"/>
      <c r="R140" s="79">
        <v>200</v>
      </c>
      <c r="S140" s="78" t="s">
        <v>43</v>
      </c>
    </row>
    <row r="141" spans="1:32" ht="16.2" x14ac:dyDescent="0.3">
      <c r="A141" s="23" t="s">
        <v>33</v>
      </c>
      <c r="B141" s="22">
        <v>1.2</v>
      </c>
      <c r="C141" s="21">
        <v>1.5</v>
      </c>
      <c r="K141" s="78" t="s">
        <v>429</v>
      </c>
      <c r="L141" s="79">
        <v>55</v>
      </c>
      <c r="M141" s="79">
        <v>16</v>
      </c>
      <c r="N141" s="80">
        <v>12.7</v>
      </c>
      <c r="O141" s="79">
        <v>25800</v>
      </c>
      <c r="P141" s="79">
        <v>71800</v>
      </c>
      <c r="Q141" s="79"/>
      <c r="R141" s="79">
        <v>168</v>
      </c>
      <c r="S141" s="78" t="s">
        <v>43</v>
      </c>
    </row>
    <row r="142" spans="1:32" ht="16.2" x14ac:dyDescent="0.3">
      <c r="A142" s="23" t="s">
        <v>32</v>
      </c>
      <c r="B142" s="22">
        <v>1.5</v>
      </c>
      <c r="C142" s="21">
        <v>3</v>
      </c>
      <c r="K142" s="78" t="s">
        <v>430</v>
      </c>
      <c r="L142" s="79">
        <v>63</v>
      </c>
      <c r="M142" s="79">
        <v>20</v>
      </c>
      <c r="N142" s="80">
        <v>15.875</v>
      </c>
      <c r="O142" s="79">
        <v>35900</v>
      </c>
      <c r="P142" s="79">
        <v>99300</v>
      </c>
      <c r="Q142" s="79"/>
      <c r="R142" s="79">
        <v>210</v>
      </c>
      <c r="S142" s="78" t="s">
        <v>43</v>
      </c>
    </row>
    <row r="143" spans="1:32" ht="16.2" x14ac:dyDescent="0.3">
      <c r="A143" s="20"/>
      <c r="B143" s="19"/>
      <c r="C143" s="18"/>
      <c r="K143" s="78" t="s">
        <v>431</v>
      </c>
      <c r="L143" s="79">
        <v>63</v>
      </c>
      <c r="M143" s="79">
        <v>20</v>
      </c>
      <c r="N143" s="80">
        <v>15.875</v>
      </c>
      <c r="O143" s="79">
        <v>46600</v>
      </c>
      <c r="P143" s="79">
        <v>134700</v>
      </c>
      <c r="Q143" s="79"/>
      <c r="R143" s="79">
        <v>246</v>
      </c>
      <c r="S143" s="78" t="s">
        <v>43</v>
      </c>
    </row>
    <row r="144" spans="1:32" ht="16.2" x14ac:dyDescent="0.3">
      <c r="A144" s="13" t="s">
        <v>31</v>
      </c>
      <c r="K144" s="78" t="s">
        <v>432</v>
      </c>
      <c r="L144" s="79">
        <v>63</v>
      </c>
      <c r="M144" s="79">
        <v>25</v>
      </c>
      <c r="N144" s="80">
        <v>15.875</v>
      </c>
      <c r="O144" s="79">
        <v>35900</v>
      </c>
      <c r="P144" s="79">
        <v>99300</v>
      </c>
      <c r="Q144" s="79"/>
      <c r="R144" s="79">
        <v>235</v>
      </c>
      <c r="S144" s="78" t="s">
        <v>43</v>
      </c>
    </row>
    <row r="145" spans="1:19" ht="19.8" x14ac:dyDescent="0.3">
      <c r="A145" s="13" t="s">
        <v>30</v>
      </c>
      <c r="B145" s="11">
        <v>0.9</v>
      </c>
      <c r="C145" s="9" t="s">
        <v>29</v>
      </c>
      <c r="K145" s="78" t="s">
        <v>433</v>
      </c>
      <c r="L145" s="81">
        <v>80</v>
      </c>
      <c r="M145" s="81">
        <v>16</v>
      </c>
      <c r="N145" s="82">
        <v>12.7</v>
      </c>
      <c r="O145" s="81">
        <v>39000</v>
      </c>
      <c r="P145" s="81">
        <v>136700</v>
      </c>
      <c r="Q145" s="81"/>
      <c r="R145" s="81">
        <v>205</v>
      </c>
      <c r="S145" s="78" t="s">
        <v>43</v>
      </c>
    </row>
    <row r="146" spans="1:19" ht="19.8" x14ac:dyDescent="0.3">
      <c r="A146" s="13" t="s">
        <v>28</v>
      </c>
      <c r="B146" s="11">
        <f>+$F$120*B9/(2*PI()*B145)</f>
        <v>864.36510604330977</v>
      </c>
      <c r="C146" s="9" t="s">
        <v>14</v>
      </c>
      <c r="K146" s="78" t="s">
        <v>434</v>
      </c>
      <c r="L146" s="81">
        <v>80</v>
      </c>
      <c r="M146" s="81">
        <v>16</v>
      </c>
      <c r="N146" s="82">
        <v>12.7</v>
      </c>
      <c r="O146" s="81">
        <v>56000</v>
      </c>
      <c r="P146" s="81">
        <v>208700</v>
      </c>
      <c r="Q146" s="81"/>
      <c r="R146" s="81">
        <v>275</v>
      </c>
      <c r="S146" s="78" t="s">
        <v>43</v>
      </c>
    </row>
    <row r="147" spans="1:19" ht="16.2" x14ac:dyDescent="0.3">
      <c r="A147" s="10"/>
      <c r="K147" s="78" t="s">
        <v>435</v>
      </c>
      <c r="L147" s="79">
        <v>80</v>
      </c>
      <c r="M147" s="79">
        <v>20</v>
      </c>
      <c r="N147" s="80">
        <v>15.875</v>
      </c>
      <c r="O147" s="79">
        <v>52100</v>
      </c>
      <c r="P147" s="79">
        <v>172400</v>
      </c>
      <c r="Q147" s="79"/>
      <c r="R147" s="79">
        <v>250</v>
      </c>
      <c r="S147" s="78" t="s">
        <v>43</v>
      </c>
    </row>
    <row r="148" spans="1:19" ht="16.2" x14ac:dyDescent="0.3">
      <c r="A148" s="13"/>
      <c r="K148" s="78" t="s">
        <v>436</v>
      </c>
      <c r="L148" s="79">
        <v>80</v>
      </c>
      <c r="M148" s="79">
        <v>20</v>
      </c>
      <c r="N148" s="80">
        <v>15.875</v>
      </c>
      <c r="O148" s="79">
        <v>75000</v>
      </c>
      <c r="P148" s="79">
        <v>263200</v>
      </c>
      <c r="Q148" s="79"/>
      <c r="R148" s="79">
        <v>330</v>
      </c>
      <c r="S148" s="78" t="s">
        <v>43</v>
      </c>
    </row>
    <row r="149" spans="1:19" ht="16.2" x14ac:dyDescent="0.3">
      <c r="A149" s="10"/>
      <c r="B149" s="10"/>
      <c r="K149" s="78" t="s">
        <v>437</v>
      </c>
      <c r="L149" s="79">
        <v>80</v>
      </c>
      <c r="M149" s="79">
        <v>25</v>
      </c>
      <c r="N149" s="80">
        <v>19.05</v>
      </c>
      <c r="O149" s="79">
        <v>67700</v>
      </c>
      <c r="P149" s="79">
        <v>206100</v>
      </c>
      <c r="Q149" s="79"/>
      <c r="R149" s="79">
        <v>305</v>
      </c>
      <c r="S149" s="78" t="s">
        <v>43</v>
      </c>
    </row>
    <row r="150" spans="1:19" ht="16.2" x14ac:dyDescent="0.3">
      <c r="A150" s="10"/>
      <c r="K150" s="78" t="s">
        <v>438</v>
      </c>
      <c r="L150" s="79">
        <v>80</v>
      </c>
      <c r="M150" s="79">
        <v>25</v>
      </c>
      <c r="N150" s="80">
        <v>19.05</v>
      </c>
      <c r="O150" s="79">
        <v>97200</v>
      </c>
      <c r="P150" s="79">
        <v>314600</v>
      </c>
      <c r="Q150" s="79"/>
      <c r="R150" s="79">
        <v>402</v>
      </c>
      <c r="S150" s="78" t="s">
        <v>43</v>
      </c>
    </row>
    <row r="151" spans="1:19" x14ac:dyDescent="0.3">
      <c r="K151" s="78" t="s">
        <v>439</v>
      </c>
      <c r="L151" s="79">
        <v>45</v>
      </c>
      <c r="M151" s="79">
        <v>10</v>
      </c>
      <c r="N151" s="80">
        <v>6</v>
      </c>
      <c r="O151" s="79">
        <v>7760</v>
      </c>
      <c r="P151" s="79">
        <v>23550</v>
      </c>
      <c r="Q151" s="79">
        <v>119</v>
      </c>
      <c r="R151" s="79">
        <v>131</v>
      </c>
      <c r="S151" s="78" t="s">
        <v>43</v>
      </c>
    </row>
    <row r="152" spans="1:19" x14ac:dyDescent="0.3">
      <c r="K152" s="78" t="s">
        <v>440</v>
      </c>
      <c r="L152" s="79">
        <v>45</v>
      </c>
      <c r="M152" s="79">
        <v>12</v>
      </c>
      <c r="N152" s="80">
        <v>7</v>
      </c>
      <c r="O152" s="79">
        <v>9120</v>
      </c>
      <c r="P152" s="79">
        <v>26850</v>
      </c>
      <c r="Q152" s="79">
        <v>121</v>
      </c>
      <c r="R152" s="79">
        <v>148</v>
      </c>
      <c r="S152" s="78" t="s">
        <v>43</v>
      </c>
    </row>
    <row r="153" spans="1:19" x14ac:dyDescent="0.3">
      <c r="K153" s="78" t="s">
        <v>441</v>
      </c>
      <c r="L153" s="79">
        <v>50</v>
      </c>
      <c r="M153" s="79">
        <v>10</v>
      </c>
      <c r="N153" s="80">
        <v>6</v>
      </c>
      <c r="O153" s="79">
        <v>8200</v>
      </c>
      <c r="P153" s="79">
        <v>26130</v>
      </c>
      <c r="Q153" s="79">
        <v>130</v>
      </c>
      <c r="R153" s="79">
        <v>131</v>
      </c>
      <c r="S153" s="78" t="s">
        <v>43</v>
      </c>
    </row>
    <row r="154" spans="1:19" x14ac:dyDescent="0.3">
      <c r="K154" s="78" t="s">
        <v>442</v>
      </c>
      <c r="L154" s="79">
        <v>20</v>
      </c>
      <c r="M154" s="79">
        <v>10</v>
      </c>
      <c r="N154" s="80">
        <v>4.7619999999999996</v>
      </c>
      <c r="O154" s="79">
        <v>1100</v>
      </c>
      <c r="P154" s="79">
        <v>2200</v>
      </c>
      <c r="Q154" s="79">
        <v>16</v>
      </c>
      <c r="R154" s="79">
        <v>61</v>
      </c>
      <c r="S154" s="78" t="s">
        <v>43</v>
      </c>
    </row>
    <row r="155" spans="1:19" x14ac:dyDescent="0.3">
      <c r="K155" s="78" t="s">
        <v>443</v>
      </c>
      <c r="L155" s="79">
        <v>25</v>
      </c>
      <c r="M155" s="79">
        <v>10</v>
      </c>
      <c r="N155" s="80">
        <v>4.7619999999999996</v>
      </c>
      <c r="O155" s="79">
        <v>1270</v>
      </c>
      <c r="P155" s="79">
        <v>2780</v>
      </c>
      <c r="Q155" s="79">
        <v>20</v>
      </c>
      <c r="R155" s="79">
        <v>65</v>
      </c>
      <c r="S155" s="78" t="s">
        <v>43</v>
      </c>
    </row>
    <row r="156" spans="1:19" x14ac:dyDescent="0.3">
      <c r="K156" s="78" t="s">
        <v>444</v>
      </c>
      <c r="L156" s="79">
        <v>25</v>
      </c>
      <c r="M156" s="79">
        <v>10</v>
      </c>
      <c r="N156" s="80">
        <v>6.35</v>
      </c>
      <c r="O156" s="79">
        <v>3200</v>
      </c>
      <c r="P156" s="79">
        <v>7170</v>
      </c>
      <c r="Q156" s="79">
        <v>40</v>
      </c>
      <c r="R156" s="79">
        <v>97</v>
      </c>
      <c r="S156" s="78" t="s">
        <v>43</v>
      </c>
    </row>
    <row r="157" spans="1:19" ht="16.2" x14ac:dyDescent="0.3">
      <c r="A157" s="10"/>
      <c r="K157" s="78" t="s">
        <v>445</v>
      </c>
      <c r="L157" s="79">
        <v>40</v>
      </c>
      <c r="M157" s="79">
        <v>10</v>
      </c>
      <c r="N157" s="80">
        <v>6.35</v>
      </c>
      <c r="O157" s="79">
        <v>3520</v>
      </c>
      <c r="P157" s="79">
        <v>12000</v>
      </c>
      <c r="Q157" s="79">
        <v>59</v>
      </c>
      <c r="R157" s="79">
        <v>100</v>
      </c>
      <c r="S157" s="78" t="s">
        <v>43</v>
      </c>
    </row>
    <row r="158" spans="1:19" x14ac:dyDescent="0.3">
      <c r="K158" s="78" t="s">
        <v>446</v>
      </c>
      <c r="L158" s="79">
        <v>40</v>
      </c>
      <c r="M158" s="79">
        <v>10</v>
      </c>
      <c r="N158" s="80"/>
      <c r="O158" s="79">
        <v>16260</v>
      </c>
      <c r="P158" s="79">
        <v>33600</v>
      </c>
      <c r="Q158" s="79">
        <v>191</v>
      </c>
      <c r="R158" s="79">
        <v>135</v>
      </c>
      <c r="S158" s="78" t="s">
        <v>318</v>
      </c>
    </row>
    <row r="159" spans="1:19" x14ac:dyDescent="0.3">
      <c r="K159" s="78" t="s">
        <v>447</v>
      </c>
      <c r="L159" s="79">
        <v>40</v>
      </c>
      <c r="M159" s="79">
        <v>12</v>
      </c>
      <c r="N159" s="80"/>
      <c r="O159" s="79">
        <v>21240</v>
      </c>
      <c r="P159" s="79">
        <v>44160</v>
      </c>
      <c r="Q159" s="79">
        <v>192</v>
      </c>
      <c r="R159" s="79">
        <v>152</v>
      </c>
      <c r="S159" s="78" t="s">
        <v>318</v>
      </c>
    </row>
    <row r="160" spans="1:19" x14ac:dyDescent="0.3">
      <c r="K160" s="78" t="s">
        <v>448</v>
      </c>
      <c r="L160" s="79">
        <v>50</v>
      </c>
      <c r="M160" s="79">
        <v>16</v>
      </c>
      <c r="N160" s="80"/>
      <c r="O160" s="79">
        <v>37960</v>
      </c>
      <c r="P160" s="79">
        <v>82090</v>
      </c>
      <c r="Q160" s="79">
        <v>239</v>
      </c>
      <c r="R160" s="79">
        <v>211</v>
      </c>
      <c r="S160" s="78" t="s">
        <v>318</v>
      </c>
    </row>
    <row r="161" spans="11:19" x14ac:dyDescent="0.3">
      <c r="K161" s="78" t="s">
        <v>449</v>
      </c>
      <c r="L161" s="79">
        <v>150</v>
      </c>
      <c r="M161" s="79">
        <v>20</v>
      </c>
      <c r="N161" s="80"/>
      <c r="O161" s="79">
        <v>228571</v>
      </c>
      <c r="P161" s="79">
        <v>1067245</v>
      </c>
      <c r="Q161" s="79"/>
      <c r="R161" s="79">
        <v>400</v>
      </c>
      <c r="S161" s="78" t="s">
        <v>286</v>
      </c>
    </row>
    <row r="162" spans="11:19" x14ac:dyDescent="0.3">
      <c r="K162" s="78" t="s">
        <v>450</v>
      </c>
      <c r="L162" s="79">
        <v>180</v>
      </c>
      <c r="M162" s="79">
        <v>20</v>
      </c>
      <c r="N162" s="80"/>
      <c r="O162" s="79">
        <v>318673</v>
      </c>
      <c r="P162" s="79">
        <v>1767245</v>
      </c>
      <c r="Q162" s="79"/>
      <c r="R162" s="79">
        <v>400</v>
      </c>
      <c r="S162" s="78" t="s">
        <v>286</v>
      </c>
    </row>
    <row r="163" spans="11:19" x14ac:dyDescent="0.3">
      <c r="K163" s="78" t="s">
        <v>451</v>
      </c>
      <c r="L163" s="79">
        <v>180</v>
      </c>
      <c r="M163" s="79">
        <v>30</v>
      </c>
      <c r="N163" s="80"/>
      <c r="O163" s="79">
        <v>307041</v>
      </c>
      <c r="P163" s="79">
        <v>1611224</v>
      </c>
      <c r="Q163" s="79"/>
      <c r="R163" s="79">
        <v>400</v>
      </c>
      <c r="S163" s="78" t="s">
        <v>286</v>
      </c>
    </row>
    <row r="164" spans="11:19" x14ac:dyDescent="0.3">
      <c r="K164" s="78" t="s">
        <v>452</v>
      </c>
      <c r="L164" s="79">
        <v>210</v>
      </c>
      <c r="M164" s="79">
        <v>20</v>
      </c>
      <c r="N164" s="80"/>
      <c r="O164" s="79">
        <v>343980</v>
      </c>
      <c r="P164" s="79">
        <v>1955510</v>
      </c>
      <c r="Q164" s="79"/>
      <c r="R164" s="79">
        <v>400</v>
      </c>
      <c r="S164" s="78" t="s">
        <v>286</v>
      </c>
    </row>
    <row r="165" spans="11:19" x14ac:dyDescent="0.3">
      <c r="K165" s="78" t="s">
        <v>453</v>
      </c>
      <c r="L165" s="79">
        <v>240</v>
      </c>
      <c r="M165" s="79">
        <v>25</v>
      </c>
      <c r="N165" s="80"/>
      <c r="O165" s="79">
        <v>399898</v>
      </c>
      <c r="P165" s="79">
        <v>2386429</v>
      </c>
      <c r="Q165" s="79"/>
      <c r="R165" s="79">
        <v>400</v>
      </c>
      <c r="S165" s="78" t="s">
        <v>286</v>
      </c>
    </row>
    <row r="166" spans="11:19" x14ac:dyDescent="0.3">
      <c r="K166" s="78" t="s">
        <v>454</v>
      </c>
      <c r="L166" s="79">
        <v>50</v>
      </c>
      <c r="M166" s="79">
        <v>14</v>
      </c>
      <c r="N166" s="80"/>
      <c r="O166" s="79">
        <v>21100</v>
      </c>
      <c r="P166" s="79">
        <v>62300</v>
      </c>
      <c r="Q166" s="79"/>
      <c r="R166" s="79">
        <v>202</v>
      </c>
      <c r="S166" s="78" t="s">
        <v>318</v>
      </c>
    </row>
    <row r="167" spans="11:19" x14ac:dyDescent="0.3">
      <c r="K167" s="78" t="s">
        <v>455</v>
      </c>
      <c r="L167" s="79">
        <v>50</v>
      </c>
      <c r="M167" s="79">
        <v>16</v>
      </c>
      <c r="N167" s="80"/>
      <c r="O167" s="79">
        <v>30600</v>
      </c>
      <c r="P167" s="79">
        <v>81800</v>
      </c>
      <c r="Q167" s="79"/>
      <c r="R167" s="79">
        <v>228</v>
      </c>
      <c r="S167" s="78" t="s">
        <v>318</v>
      </c>
    </row>
    <row r="168" spans="11:19" x14ac:dyDescent="0.3">
      <c r="K168" s="78" t="s">
        <v>456</v>
      </c>
      <c r="L168" s="79">
        <v>50</v>
      </c>
      <c r="M168" s="79">
        <v>40</v>
      </c>
      <c r="N168" s="80"/>
      <c r="O168" s="79">
        <v>19500</v>
      </c>
      <c r="P168" s="79">
        <v>49100</v>
      </c>
      <c r="Q168" s="79"/>
      <c r="R168" s="79">
        <v>159</v>
      </c>
      <c r="S168" s="78" t="s">
        <v>318</v>
      </c>
    </row>
    <row r="169" spans="11:19" x14ac:dyDescent="0.3">
      <c r="K169" s="78" t="s">
        <v>457</v>
      </c>
      <c r="L169" s="79">
        <v>63</v>
      </c>
      <c r="M169" s="79">
        <v>32</v>
      </c>
      <c r="N169" s="80"/>
      <c r="O169" s="79">
        <v>23300</v>
      </c>
      <c r="P169" s="79">
        <v>59000</v>
      </c>
      <c r="Q169" s="79"/>
      <c r="R169" s="79">
        <v>176</v>
      </c>
      <c r="S169" s="78" t="s">
        <v>318</v>
      </c>
    </row>
    <row r="170" spans="11:19" x14ac:dyDescent="0.3">
      <c r="K170" s="78" t="s">
        <v>458</v>
      </c>
      <c r="L170" s="79">
        <v>30</v>
      </c>
      <c r="M170" s="79">
        <v>10</v>
      </c>
      <c r="N170" s="80"/>
      <c r="O170" s="79">
        <v>10306</v>
      </c>
      <c r="P170" s="79">
        <v>17755</v>
      </c>
      <c r="Q170" s="79"/>
      <c r="R170" s="79">
        <v>127</v>
      </c>
      <c r="S170" s="78" t="s">
        <v>318</v>
      </c>
    </row>
    <row r="171" spans="11:19" x14ac:dyDescent="0.3">
      <c r="K171" s="78" t="s">
        <v>459</v>
      </c>
      <c r="L171" s="79">
        <v>39</v>
      </c>
      <c r="M171" s="79">
        <v>10</v>
      </c>
      <c r="N171" s="80"/>
      <c r="O171" s="79">
        <v>9134</v>
      </c>
      <c r="P171" s="79">
        <v>17071</v>
      </c>
      <c r="Q171" s="79"/>
      <c r="R171" s="79">
        <v>152</v>
      </c>
      <c r="S171" s="78" t="s">
        <v>318</v>
      </c>
    </row>
    <row r="172" spans="11:19" x14ac:dyDescent="0.3">
      <c r="K172" s="78" t="s">
        <v>460</v>
      </c>
      <c r="L172" s="79">
        <v>48</v>
      </c>
      <c r="M172" s="79">
        <v>10</v>
      </c>
      <c r="N172" s="80"/>
      <c r="O172" s="79">
        <v>22449</v>
      </c>
      <c r="P172" s="79">
        <v>48469</v>
      </c>
      <c r="Q172" s="79"/>
      <c r="R172" s="79">
        <v>127</v>
      </c>
      <c r="S172" s="78" t="s">
        <v>318</v>
      </c>
    </row>
    <row r="173" spans="11:19" x14ac:dyDescent="0.3">
      <c r="K173" s="78" t="s">
        <v>460</v>
      </c>
      <c r="L173" s="79">
        <v>48</v>
      </c>
      <c r="M173" s="79">
        <v>10</v>
      </c>
      <c r="N173" s="80"/>
      <c r="O173" s="79">
        <v>13858</v>
      </c>
      <c r="P173" s="79">
        <v>29921</v>
      </c>
      <c r="Q173" s="79"/>
      <c r="R173" s="79">
        <v>127</v>
      </c>
      <c r="S173" s="78" t="s">
        <v>318</v>
      </c>
    </row>
    <row r="174" spans="11:19" x14ac:dyDescent="0.3">
      <c r="K174" s="78" t="s">
        <v>461</v>
      </c>
      <c r="L174" s="79">
        <v>60</v>
      </c>
      <c r="M174" s="79">
        <v>10</v>
      </c>
      <c r="N174" s="80"/>
      <c r="O174" s="79">
        <v>32857</v>
      </c>
      <c r="P174" s="79">
        <v>79592</v>
      </c>
      <c r="Q174" s="79"/>
      <c r="R174" s="79">
        <v>152</v>
      </c>
      <c r="S174" s="78" t="s">
        <v>318</v>
      </c>
    </row>
    <row r="175" spans="11:19" x14ac:dyDescent="0.3">
      <c r="K175" s="78" t="s">
        <v>462</v>
      </c>
      <c r="L175" s="79">
        <v>60</v>
      </c>
      <c r="M175" s="79">
        <v>20</v>
      </c>
      <c r="N175" s="80"/>
      <c r="O175" s="79">
        <v>38265</v>
      </c>
      <c r="P175" s="79">
        <v>80204</v>
      </c>
      <c r="Q175" s="79"/>
      <c r="R175" s="79">
        <v>152</v>
      </c>
      <c r="S175" s="78" t="s">
        <v>318</v>
      </c>
    </row>
    <row r="176" spans="11:19" x14ac:dyDescent="0.3">
      <c r="K176" s="78" t="s">
        <v>463</v>
      </c>
      <c r="L176" s="79">
        <v>75</v>
      </c>
      <c r="M176" s="79">
        <v>10</v>
      </c>
      <c r="N176" s="80"/>
      <c r="O176" s="79">
        <v>30236</v>
      </c>
      <c r="P176" s="79">
        <v>93669</v>
      </c>
      <c r="Q176" s="79"/>
      <c r="R176" s="79">
        <v>191</v>
      </c>
      <c r="S176" s="78" t="s">
        <v>318</v>
      </c>
    </row>
    <row r="177" spans="11:19" x14ac:dyDescent="0.3">
      <c r="K177" s="78" t="s">
        <v>464</v>
      </c>
      <c r="L177" s="79">
        <v>75</v>
      </c>
      <c r="M177" s="79">
        <v>20</v>
      </c>
      <c r="N177" s="80"/>
      <c r="O177" s="79">
        <v>55510</v>
      </c>
      <c r="P177" s="79">
        <v>152653</v>
      </c>
      <c r="Q177" s="79"/>
      <c r="R177" s="79">
        <v>191</v>
      </c>
      <c r="S177" s="78" t="s">
        <v>318</v>
      </c>
    </row>
    <row r="178" spans="11:19" x14ac:dyDescent="0.3">
      <c r="K178" s="78" t="s">
        <v>464</v>
      </c>
      <c r="L178" s="79">
        <v>75</v>
      </c>
      <c r="M178" s="79">
        <v>20</v>
      </c>
      <c r="N178" s="80"/>
      <c r="O178" s="79">
        <v>34268</v>
      </c>
      <c r="P178" s="79">
        <v>94236</v>
      </c>
      <c r="Q178" s="79"/>
      <c r="R178" s="79">
        <v>191</v>
      </c>
      <c r="S178" s="78" t="s">
        <v>318</v>
      </c>
    </row>
    <row r="179" spans="11:19" x14ac:dyDescent="0.3">
      <c r="K179" s="78" t="s">
        <v>465</v>
      </c>
      <c r="L179" s="79">
        <v>32</v>
      </c>
      <c r="M179" s="79">
        <v>10</v>
      </c>
      <c r="N179" s="80">
        <v>6</v>
      </c>
      <c r="O179" s="79">
        <v>3963</v>
      </c>
      <c r="P179" s="79">
        <v>9011</v>
      </c>
      <c r="Q179" s="79">
        <v>53</v>
      </c>
      <c r="R179" s="79">
        <v>96</v>
      </c>
      <c r="S179" s="78" t="s">
        <v>320</v>
      </c>
    </row>
    <row r="180" spans="11:19" x14ac:dyDescent="0.3">
      <c r="K180" s="78" t="s">
        <v>466</v>
      </c>
      <c r="L180" s="79">
        <v>32</v>
      </c>
      <c r="M180" s="79">
        <v>20</v>
      </c>
      <c r="N180" s="80">
        <v>6</v>
      </c>
      <c r="O180" s="79">
        <v>2481</v>
      </c>
      <c r="P180" s="79">
        <v>5385</v>
      </c>
      <c r="Q180" s="79">
        <v>29</v>
      </c>
      <c r="R180" s="79">
        <v>100</v>
      </c>
      <c r="S180" s="78" t="s">
        <v>320</v>
      </c>
    </row>
    <row r="181" spans="11:19" x14ac:dyDescent="0.3">
      <c r="K181" s="78" t="s">
        <v>467</v>
      </c>
      <c r="L181" s="79">
        <v>40</v>
      </c>
      <c r="M181" s="79">
        <v>10</v>
      </c>
      <c r="N181" s="80">
        <v>6</v>
      </c>
      <c r="O181" s="79">
        <v>4372</v>
      </c>
      <c r="P181" s="79">
        <v>11264</v>
      </c>
      <c r="Q181" s="79">
        <v>65</v>
      </c>
      <c r="R181" s="79">
        <v>100</v>
      </c>
      <c r="S181" s="78" t="s">
        <v>320</v>
      </c>
    </row>
    <row r="182" spans="11:19" x14ac:dyDescent="0.3">
      <c r="K182" s="78" t="s">
        <v>468</v>
      </c>
      <c r="L182" s="79">
        <v>40</v>
      </c>
      <c r="M182" s="79">
        <v>20</v>
      </c>
      <c r="N182" s="80">
        <v>6</v>
      </c>
      <c r="O182" s="79">
        <v>2723</v>
      </c>
      <c r="P182" s="79">
        <v>6653</v>
      </c>
      <c r="Q182" s="79">
        <v>36</v>
      </c>
      <c r="R182" s="79">
        <v>100</v>
      </c>
      <c r="S182" s="78" t="s">
        <v>320</v>
      </c>
    </row>
    <row r="183" spans="11:19" x14ac:dyDescent="0.3">
      <c r="K183" s="78" t="s">
        <v>469</v>
      </c>
      <c r="L183" s="79">
        <v>50</v>
      </c>
      <c r="M183" s="79">
        <v>10</v>
      </c>
      <c r="N183" s="80">
        <v>5</v>
      </c>
      <c r="O183" s="79">
        <v>7023</v>
      </c>
      <c r="P183" s="79">
        <v>23537</v>
      </c>
      <c r="Q183" s="79">
        <v>106</v>
      </c>
      <c r="R183" s="79">
        <v>93</v>
      </c>
      <c r="S183" s="78" t="s">
        <v>320</v>
      </c>
    </row>
    <row r="184" spans="11:19" x14ac:dyDescent="0.3">
      <c r="K184" s="78" t="s">
        <v>470</v>
      </c>
      <c r="L184" s="79">
        <v>50</v>
      </c>
      <c r="M184" s="79">
        <v>20</v>
      </c>
      <c r="N184" s="80">
        <v>10</v>
      </c>
      <c r="O184" s="79">
        <v>5149</v>
      </c>
      <c r="P184" s="79">
        <v>12118</v>
      </c>
      <c r="Q184" s="79">
        <v>46</v>
      </c>
      <c r="R184" s="79">
        <v>121</v>
      </c>
      <c r="S184" s="78" t="s">
        <v>320</v>
      </c>
    </row>
    <row r="185" spans="11:19" x14ac:dyDescent="0.3">
      <c r="K185" s="78" t="s">
        <v>471</v>
      </c>
      <c r="L185" s="79">
        <v>63</v>
      </c>
      <c r="M185" s="79">
        <v>10</v>
      </c>
      <c r="N185" s="80">
        <v>10</v>
      </c>
      <c r="O185" s="79">
        <v>786</v>
      </c>
      <c r="P185" s="79">
        <v>30430</v>
      </c>
      <c r="Q185" s="79">
        <v>80</v>
      </c>
      <c r="R185" s="79">
        <v>120</v>
      </c>
      <c r="S185" s="78" t="s">
        <v>320</v>
      </c>
    </row>
    <row r="186" spans="11:19" x14ac:dyDescent="0.3">
      <c r="K186" s="78" t="s">
        <v>472</v>
      </c>
      <c r="L186" s="79">
        <v>16</v>
      </c>
      <c r="M186" s="79">
        <v>5</v>
      </c>
      <c r="N186" s="80">
        <v>3</v>
      </c>
      <c r="O186" s="79">
        <v>1510</v>
      </c>
      <c r="P186" s="79">
        <v>1643</v>
      </c>
      <c r="Q186" s="79"/>
      <c r="R186" s="79">
        <v>35</v>
      </c>
      <c r="S186" s="78" t="s">
        <v>318</v>
      </c>
    </row>
    <row r="187" spans="11:19" x14ac:dyDescent="0.3">
      <c r="K187" s="78" t="s">
        <v>473</v>
      </c>
      <c r="L187" s="79">
        <v>20</v>
      </c>
      <c r="M187" s="79">
        <v>10</v>
      </c>
      <c r="N187" s="80">
        <v>3</v>
      </c>
      <c r="O187" s="79">
        <v>1316</v>
      </c>
      <c r="P187" s="79">
        <v>2173</v>
      </c>
      <c r="Q187" s="79"/>
      <c r="R187" s="79">
        <v>60</v>
      </c>
      <c r="S187" s="78" t="s">
        <v>318</v>
      </c>
    </row>
  </sheetData>
  <dataConsolidate/>
  <mergeCells count="1">
    <mergeCell ref="B139:C139"/>
  </mergeCells>
  <phoneticPr fontId="6" type="noConversion"/>
  <conditionalFormatting sqref="B130">
    <cfRule type="cellIs" dxfId="13" priority="4" stopIfTrue="1" operator="greaterThanOrEqual">
      <formula>$B$10</formula>
    </cfRule>
    <cfRule type="cellIs" dxfId="12" priority="5" stopIfTrue="1" operator="lessThan">
      <formula>$B$10</formula>
    </cfRule>
  </conditionalFormatting>
  <conditionalFormatting sqref="B134">
    <cfRule type="cellIs" dxfId="11" priority="6" stopIfTrue="1" operator="lessThan">
      <formula>$B$69</formula>
    </cfRule>
    <cfRule type="cellIs" dxfId="10" priority="7" stopIfTrue="1" operator="greaterThanOrEqual">
      <formula>$B$69</formula>
    </cfRule>
  </conditionalFormatting>
  <conditionalFormatting sqref="D63">
    <cfRule type="cellIs" dxfId="9" priority="8" stopIfTrue="1" operator="lessThanOrEqual">
      <formula>$B$31</formula>
    </cfRule>
    <cfRule type="cellIs" dxfId="8" priority="9" stopIfTrue="1" operator="greaterThan">
      <formula>$B$31</formula>
    </cfRule>
  </conditionalFormatting>
  <conditionalFormatting sqref="B55">
    <cfRule type="cellIs" dxfId="7" priority="12" stopIfTrue="1" operator="greaterThanOrEqual">
      <formula>$H$24</formula>
    </cfRule>
    <cfRule type="cellIs" dxfId="6" priority="13" stopIfTrue="1" operator="lessThan">
      <formula>$F$24+$H$24</formula>
    </cfRule>
  </conditionalFormatting>
  <conditionalFormatting sqref="B56">
    <cfRule type="cellIs" dxfId="5" priority="14" stopIfTrue="1" operator="greaterThanOrEqual">
      <formula>$H$7</formula>
    </cfRule>
    <cfRule type="cellIs" dxfId="4" priority="15" stopIfTrue="1" operator="lessThan">
      <formula>$H$7</formula>
    </cfRule>
  </conditionalFormatting>
  <conditionalFormatting sqref="D62">
    <cfRule type="cellIs" dxfId="3" priority="16" stopIfTrue="1" operator="lessThanOrEqual">
      <formula>2000</formula>
    </cfRule>
    <cfRule type="cellIs" dxfId="2" priority="17" stopIfTrue="1" operator="greaterThan">
      <formula>2000</formula>
    </cfRule>
  </conditionalFormatting>
  <conditionalFormatting sqref="B58">
    <cfRule type="cellIs" dxfId="1" priority="1" stopIfTrue="1" operator="lessThanOrEqual">
      <formula>$B$9</formula>
    </cfRule>
    <cfRule type="cellIs" dxfId="0" priority="2" stopIfTrue="1" operator="greaterThan">
      <formula>$B$9</formula>
    </cfRule>
  </conditionalFormatting>
  <dataValidations count="7">
    <dataValidation type="list" allowBlank="1" showInputMessage="1" showErrorMessage="1" sqref="A125 WVI983164 WLM983164 WBQ983164 VRU983164 VHY983164 UYC983164 UOG983164 UEK983164 TUO983164 TKS983164 TAW983164 SRA983164 SHE983164 RXI983164 RNM983164 RDQ983164 QTU983164 QJY983164 QAC983164 PQG983164 PGK983164 OWO983164 OMS983164 OCW983164 NTA983164 NJE983164 MZI983164 MPM983164 MFQ983164 LVU983164 LLY983164 LCC983164 KSG983164 KIK983164 JYO983164 JOS983164 JEW983164 IVA983164 ILE983164 IBI983164 HRM983164 HHQ983164 GXU983164 GNY983164 GEC983164 FUG983164 FKK983164 FAO983164 EQS983164 EGW983164 DXA983164 DNE983164 DDI983164 CTM983164 CJQ983164 BZU983164 BPY983164 BGC983164 AWG983164 AMK983164 ACO983164 SS983164 IW983164 A983099 WVI917628 WLM917628 WBQ917628 VRU917628 VHY917628 UYC917628 UOG917628 UEK917628 TUO917628 TKS917628 TAW917628 SRA917628 SHE917628 RXI917628 RNM917628 RDQ917628 QTU917628 QJY917628 QAC917628 PQG917628 PGK917628 OWO917628 OMS917628 OCW917628 NTA917628 NJE917628 MZI917628 MPM917628 MFQ917628 LVU917628 LLY917628 LCC917628 KSG917628 KIK917628 JYO917628 JOS917628 JEW917628 IVA917628 ILE917628 IBI917628 HRM917628 HHQ917628 GXU917628 GNY917628 GEC917628 FUG917628 FKK917628 FAO917628 EQS917628 EGW917628 DXA917628 DNE917628 DDI917628 CTM917628 CJQ917628 BZU917628 BPY917628 BGC917628 AWG917628 AMK917628 ACO917628 SS917628 IW917628 A917563 WVI852092 WLM852092 WBQ852092 VRU852092 VHY852092 UYC852092 UOG852092 UEK852092 TUO852092 TKS852092 TAW852092 SRA852092 SHE852092 RXI852092 RNM852092 RDQ852092 QTU852092 QJY852092 QAC852092 PQG852092 PGK852092 OWO852092 OMS852092 OCW852092 NTA852092 NJE852092 MZI852092 MPM852092 MFQ852092 LVU852092 LLY852092 LCC852092 KSG852092 KIK852092 JYO852092 JOS852092 JEW852092 IVA852092 ILE852092 IBI852092 HRM852092 HHQ852092 GXU852092 GNY852092 GEC852092 FUG852092 FKK852092 FAO852092 EQS852092 EGW852092 DXA852092 DNE852092 DDI852092 CTM852092 CJQ852092 BZU852092 BPY852092 BGC852092 AWG852092 AMK852092 ACO852092 SS852092 IW852092 A852027 WVI786556 WLM786556 WBQ786556 VRU786556 VHY786556 UYC786556 UOG786556 UEK786556 TUO786556 TKS786556 TAW786556 SRA786556 SHE786556 RXI786556 RNM786556 RDQ786556 QTU786556 QJY786556 QAC786556 PQG786556 PGK786556 OWO786556 OMS786556 OCW786556 NTA786556 NJE786556 MZI786556 MPM786556 MFQ786556 LVU786556 LLY786556 LCC786556 KSG786556 KIK786556 JYO786556 JOS786556 JEW786556 IVA786556 ILE786556 IBI786556 HRM786556 HHQ786556 GXU786556 GNY786556 GEC786556 FUG786556 FKK786556 FAO786556 EQS786556 EGW786556 DXA786556 DNE786556 DDI786556 CTM786556 CJQ786556 BZU786556 BPY786556 BGC786556 AWG786556 AMK786556 ACO786556 SS786556 IW786556 A786491 WVI721020 WLM721020 WBQ721020 VRU721020 VHY721020 UYC721020 UOG721020 UEK721020 TUO721020 TKS721020 TAW721020 SRA721020 SHE721020 RXI721020 RNM721020 RDQ721020 QTU721020 QJY721020 QAC721020 PQG721020 PGK721020 OWO721020 OMS721020 OCW721020 NTA721020 NJE721020 MZI721020 MPM721020 MFQ721020 LVU721020 LLY721020 LCC721020 KSG721020 KIK721020 JYO721020 JOS721020 JEW721020 IVA721020 ILE721020 IBI721020 HRM721020 HHQ721020 GXU721020 GNY721020 GEC721020 FUG721020 FKK721020 FAO721020 EQS721020 EGW721020 DXA721020 DNE721020 DDI721020 CTM721020 CJQ721020 BZU721020 BPY721020 BGC721020 AWG721020 AMK721020 ACO721020 SS721020 IW721020 A720955 WVI655484 WLM655484 WBQ655484 VRU655484 VHY655484 UYC655484 UOG655484 UEK655484 TUO655484 TKS655484 TAW655484 SRA655484 SHE655484 RXI655484 RNM655484 RDQ655484 QTU655484 QJY655484 QAC655484 PQG655484 PGK655484 OWO655484 OMS655484 OCW655484 NTA655484 NJE655484 MZI655484 MPM655484 MFQ655484 LVU655484 LLY655484 LCC655484 KSG655484 KIK655484 JYO655484 JOS655484 JEW655484 IVA655484 ILE655484 IBI655484 HRM655484 HHQ655484 GXU655484 GNY655484 GEC655484 FUG655484 FKK655484 FAO655484 EQS655484 EGW655484 DXA655484 DNE655484 DDI655484 CTM655484 CJQ655484 BZU655484 BPY655484 BGC655484 AWG655484 AMK655484 ACO655484 SS655484 IW655484 A655419 WVI589948 WLM589948 WBQ589948 VRU589948 VHY589948 UYC589948 UOG589948 UEK589948 TUO589948 TKS589948 TAW589948 SRA589948 SHE589948 RXI589948 RNM589948 RDQ589948 QTU589948 QJY589948 QAC589948 PQG589948 PGK589948 OWO589948 OMS589948 OCW589948 NTA589948 NJE589948 MZI589948 MPM589948 MFQ589948 LVU589948 LLY589948 LCC589948 KSG589948 KIK589948 JYO589948 JOS589948 JEW589948 IVA589948 ILE589948 IBI589948 HRM589948 HHQ589948 GXU589948 GNY589948 GEC589948 FUG589948 FKK589948 FAO589948 EQS589948 EGW589948 DXA589948 DNE589948 DDI589948 CTM589948 CJQ589948 BZU589948 BPY589948 BGC589948 AWG589948 AMK589948 ACO589948 SS589948 IW589948 A589883 WVI524412 WLM524412 WBQ524412 VRU524412 VHY524412 UYC524412 UOG524412 UEK524412 TUO524412 TKS524412 TAW524412 SRA524412 SHE524412 RXI524412 RNM524412 RDQ524412 QTU524412 QJY524412 QAC524412 PQG524412 PGK524412 OWO524412 OMS524412 OCW524412 NTA524412 NJE524412 MZI524412 MPM524412 MFQ524412 LVU524412 LLY524412 LCC524412 KSG524412 KIK524412 JYO524412 JOS524412 JEW524412 IVA524412 ILE524412 IBI524412 HRM524412 HHQ524412 GXU524412 GNY524412 GEC524412 FUG524412 FKK524412 FAO524412 EQS524412 EGW524412 DXA524412 DNE524412 DDI524412 CTM524412 CJQ524412 BZU524412 BPY524412 BGC524412 AWG524412 AMK524412 ACO524412 SS524412 IW524412 A524347 WVI458876 WLM458876 WBQ458876 VRU458876 VHY458876 UYC458876 UOG458876 UEK458876 TUO458876 TKS458876 TAW458876 SRA458876 SHE458876 RXI458876 RNM458876 RDQ458876 QTU458876 QJY458876 QAC458876 PQG458876 PGK458876 OWO458876 OMS458876 OCW458876 NTA458876 NJE458876 MZI458876 MPM458876 MFQ458876 LVU458876 LLY458876 LCC458876 KSG458876 KIK458876 JYO458876 JOS458876 JEW458876 IVA458876 ILE458876 IBI458876 HRM458876 HHQ458876 GXU458876 GNY458876 GEC458876 FUG458876 FKK458876 FAO458876 EQS458876 EGW458876 DXA458876 DNE458876 DDI458876 CTM458876 CJQ458876 BZU458876 BPY458876 BGC458876 AWG458876 AMK458876 ACO458876 SS458876 IW458876 A458811 WVI393340 WLM393340 WBQ393340 VRU393340 VHY393340 UYC393340 UOG393340 UEK393340 TUO393340 TKS393340 TAW393340 SRA393340 SHE393340 RXI393340 RNM393340 RDQ393340 QTU393340 QJY393340 QAC393340 PQG393340 PGK393340 OWO393340 OMS393340 OCW393340 NTA393340 NJE393340 MZI393340 MPM393340 MFQ393340 LVU393340 LLY393340 LCC393340 KSG393340 KIK393340 JYO393340 JOS393340 JEW393340 IVA393340 ILE393340 IBI393340 HRM393340 HHQ393340 GXU393340 GNY393340 GEC393340 FUG393340 FKK393340 FAO393340 EQS393340 EGW393340 DXA393340 DNE393340 DDI393340 CTM393340 CJQ393340 BZU393340 BPY393340 BGC393340 AWG393340 AMK393340 ACO393340 SS393340 IW393340 A393275 WVI327804 WLM327804 WBQ327804 VRU327804 VHY327804 UYC327804 UOG327804 UEK327804 TUO327804 TKS327804 TAW327804 SRA327804 SHE327804 RXI327804 RNM327804 RDQ327804 QTU327804 QJY327804 QAC327804 PQG327804 PGK327804 OWO327804 OMS327804 OCW327804 NTA327804 NJE327804 MZI327804 MPM327804 MFQ327804 LVU327804 LLY327804 LCC327804 KSG327804 KIK327804 JYO327804 JOS327804 JEW327804 IVA327804 ILE327804 IBI327804 HRM327804 HHQ327804 GXU327804 GNY327804 GEC327804 FUG327804 FKK327804 FAO327804 EQS327804 EGW327804 DXA327804 DNE327804 DDI327804 CTM327804 CJQ327804 BZU327804 BPY327804 BGC327804 AWG327804 AMK327804 ACO327804 SS327804 IW327804 A327739 WVI262268 WLM262268 WBQ262268 VRU262268 VHY262268 UYC262268 UOG262268 UEK262268 TUO262268 TKS262268 TAW262268 SRA262268 SHE262268 RXI262268 RNM262268 RDQ262268 QTU262268 QJY262268 QAC262268 PQG262268 PGK262268 OWO262268 OMS262268 OCW262268 NTA262268 NJE262268 MZI262268 MPM262268 MFQ262268 LVU262268 LLY262268 LCC262268 KSG262268 KIK262268 JYO262268 JOS262268 JEW262268 IVA262268 ILE262268 IBI262268 HRM262268 HHQ262268 GXU262268 GNY262268 GEC262268 FUG262268 FKK262268 FAO262268 EQS262268 EGW262268 DXA262268 DNE262268 DDI262268 CTM262268 CJQ262268 BZU262268 BPY262268 BGC262268 AWG262268 AMK262268 ACO262268 SS262268 IW262268 A262203 WVI196732 WLM196732 WBQ196732 VRU196732 VHY196732 UYC196732 UOG196732 UEK196732 TUO196732 TKS196732 TAW196732 SRA196732 SHE196732 RXI196732 RNM196732 RDQ196732 QTU196732 QJY196732 QAC196732 PQG196732 PGK196732 OWO196732 OMS196732 OCW196732 NTA196732 NJE196732 MZI196732 MPM196732 MFQ196732 LVU196732 LLY196732 LCC196732 KSG196732 KIK196732 JYO196732 JOS196732 JEW196732 IVA196732 ILE196732 IBI196732 HRM196732 HHQ196732 GXU196732 GNY196732 GEC196732 FUG196732 FKK196732 FAO196732 EQS196732 EGW196732 DXA196732 DNE196732 DDI196732 CTM196732 CJQ196732 BZU196732 BPY196732 BGC196732 AWG196732 AMK196732 ACO196732 SS196732 IW196732 A196667 WVI131196 WLM131196 WBQ131196 VRU131196 VHY131196 UYC131196 UOG131196 UEK131196 TUO131196 TKS131196 TAW131196 SRA131196 SHE131196 RXI131196 RNM131196 RDQ131196 QTU131196 QJY131196 QAC131196 PQG131196 PGK131196 OWO131196 OMS131196 OCW131196 NTA131196 NJE131196 MZI131196 MPM131196 MFQ131196 LVU131196 LLY131196 LCC131196 KSG131196 KIK131196 JYO131196 JOS131196 JEW131196 IVA131196 ILE131196 IBI131196 HRM131196 HHQ131196 GXU131196 GNY131196 GEC131196 FUG131196 FKK131196 FAO131196 EQS131196 EGW131196 DXA131196 DNE131196 DDI131196 CTM131196 CJQ131196 BZU131196 BPY131196 BGC131196 AWG131196 AMK131196 ACO131196 SS131196 IW131196 A131131 WVI65660 WLM65660 WBQ65660 VRU65660 VHY65660 UYC65660 UOG65660 UEK65660 TUO65660 TKS65660 TAW65660 SRA65660 SHE65660 RXI65660 RNM65660 RDQ65660 QTU65660 QJY65660 QAC65660 PQG65660 PGK65660 OWO65660 OMS65660 OCW65660 NTA65660 NJE65660 MZI65660 MPM65660 MFQ65660 LVU65660 LLY65660 LCC65660 KSG65660 KIK65660 JYO65660 JOS65660 JEW65660 IVA65660 ILE65660 IBI65660 HRM65660 HHQ65660 GXU65660 GNY65660 GEC65660 FUG65660 FKK65660 FAO65660 EQS65660 EGW65660 DXA65660 DNE65660 DDI65660 CTM65660 CJQ65660 BZU65660 BPY65660 BGC65660 AWG65660 AMK65660 ACO65660 SS65660 IW65660 A65595 WVI125 WLM125 WBQ125 VRU125 VHY125 UYC125 UOG125 UEK125 TUO125 TKS125 TAW125 SRA125 SHE125 RXI125 RNM125 RDQ125 QTU125 QJY125 QAC125 PQG125 PGK125 OWO125 OMS125 OCW125 NTA125 NJE125 MZI125 MPM125 MFQ125 LVU125 LLY125 LCC125 KSG125 KIK125 JYO125 JOS125 JEW125 IVA125 ILE125 IBI125 HRM125 HHQ125 GXU125 GNY125 GEC125 FUG125 FKK125 FAO125 EQS125 EGW125 DXA125 DNE125 DDI125 CTM125 CJQ125 BZU125 BPY125 BGC125 AWG125 AMK125 ACO125 SS125 IW125" xr:uid="{E1868226-59E4-4C39-8987-10D2FA2F32A5}">
      <formula1>$A$126:$A$128</formula1>
    </dataValidation>
    <dataValidation type="list" allowBlank="1" showInputMessage="1" showErrorMessage="1" sqref="A108 WVI983132 WLM983132 WBQ983132 VRU983132 VHY983132 UYC983132 UOG983132 UEK983132 TUO983132 TKS983132 TAW983132 SRA983132 SHE983132 RXI983132 RNM983132 RDQ983132 QTU983132 QJY983132 QAC983132 PQG983132 PGK983132 OWO983132 OMS983132 OCW983132 NTA983132 NJE983132 MZI983132 MPM983132 MFQ983132 LVU983132 LLY983132 LCC983132 KSG983132 KIK983132 JYO983132 JOS983132 JEW983132 IVA983132 ILE983132 IBI983132 HRM983132 HHQ983132 GXU983132 GNY983132 GEC983132 FUG983132 FKK983132 FAO983132 EQS983132 EGW983132 DXA983132 DNE983132 DDI983132 CTM983132 CJQ983132 BZU983132 BPY983132 BGC983132 AWG983132 AMK983132 ACO983132 SS983132 IW983132 A983067 WVI917596 WLM917596 WBQ917596 VRU917596 VHY917596 UYC917596 UOG917596 UEK917596 TUO917596 TKS917596 TAW917596 SRA917596 SHE917596 RXI917596 RNM917596 RDQ917596 QTU917596 QJY917596 QAC917596 PQG917596 PGK917596 OWO917596 OMS917596 OCW917596 NTA917596 NJE917596 MZI917596 MPM917596 MFQ917596 LVU917596 LLY917596 LCC917596 KSG917596 KIK917596 JYO917596 JOS917596 JEW917596 IVA917596 ILE917596 IBI917596 HRM917596 HHQ917596 GXU917596 GNY917596 GEC917596 FUG917596 FKK917596 FAO917596 EQS917596 EGW917596 DXA917596 DNE917596 DDI917596 CTM917596 CJQ917596 BZU917596 BPY917596 BGC917596 AWG917596 AMK917596 ACO917596 SS917596 IW917596 A917531 WVI852060 WLM852060 WBQ852060 VRU852060 VHY852060 UYC852060 UOG852060 UEK852060 TUO852060 TKS852060 TAW852060 SRA852060 SHE852060 RXI852060 RNM852060 RDQ852060 QTU852060 QJY852060 QAC852060 PQG852060 PGK852060 OWO852060 OMS852060 OCW852060 NTA852060 NJE852060 MZI852060 MPM852060 MFQ852060 LVU852060 LLY852060 LCC852060 KSG852060 KIK852060 JYO852060 JOS852060 JEW852060 IVA852060 ILE852060 IBI852060 HRM852060 HHQ852060 GXU852060 GNY852060 GEC852060 FUG852060 FKK852060 FAO852060 EQS852060 EGW852060 DXA852060 DNE852060 DDI852060 CTM852060 CJQ852060 BZU852060 BPY852060 BGC852060 AWG852060 AMK852060 ACO852060 SS852060 IW852060 A851995 WVI786524 WLM786524 WBQ786524 VRU786524 VHY786524 UYC786524 UOG786524 UEK786524 TUO786524 TKS786524 TAW786524 SRA786524 SHE786524 RXI786524 RNM786524 RDQ786524 QTU786524 QJY786524 QAC786524 PQG786524 PGK786524 OWO786524 OMS786524 OCW786524 NTA786524 NJE786524 MZI786524 MPM786524 MFQ786524 LVU786524 LLY786524 LCC786524 KSG786524 KIK786524 JYO786524 JOS786524 JEW786524 IVA786524 ILE786524 IBI786524 HRM786524 HHQ786524 GXU786524 GNY786524 GEC786524 FUG786524 FKK786524 FAO786524 EQS786524 EGW786524 DXA786524 DNE786524 DDI786524 CTM786524 CJQ786524 BZU786524 BPY786524 BGC786524 AWG786524 AMK786524 ACO786524 SS786524 IW786524 A786459 WVI720988 WLM720988 WBQ720988 VRU720988 VHY720988 UYC720988 UOG720988 UEK720988 TUO720988 TKS720988 TAW720988 SRA720988 SHE720988 RXI720988 RNM720988 RDQ720988 QTU720988 QJY720988 QAC720988 PQG720988 PGK720988 OWO720988 OMS720988 OCW720988 NTA720988 NJE720988 MZI720988 MPM720988 MFQ720988 LVU720988 LLY720988 LCC720988 KSG720988 KIK720988 JYO720988 JOS720988 JEW720988 IVA720988 ILE720988 IBI720988 HRM720988 HHQ720988 GXU720988 GNY720988 GEC720988 FUG720988 FKK720988 FAO720988 EQS720988 EGW720988 DXA720988 DNE720988 DDI720988 CTM720988 CJQ720988 BZU720988 BPY720988 BGC720988 AWG720988 AMK720988 ACO720988 SS720988 IW720988 A720923 WVI655452 WLM655452 WBQ655452 VRU655452 VHY655452 UYC655452 UOG655452 UEK655452 TUO655452 TKS655452 TAW655452 SRA655452 SHE655452 RXI655452 RNM655452 RDQ655452 QTU655452 QJY655452 QAC655452 PQG655452 PGK655452 OWO655452 OMS655452 OCW655452 NTA655452 NJE655452 MZI655452 MPM655452 MFQ655452 LVU655452 LLY655452 LCC655452 KSG655452 KIK655452 JYO655452 JOS655452 JEW655452 IVA655452 ILE655452 IBI655452 HRM655452 HHQ655452 GXU655452 GNY655452 GEC655452 FUG655452 FKK655452 FAO655452 EQS655452 EGW655452 DXA655452 DNE655452 DDI655452 CTM655452 CJQ655452 BZU655452 BPY655452 BGC655452 AWG655452 AMK655452 ACO655452 SS655452 IW655452 A655387 WVI589916 WLM589916 WBQ589916 VRU589916 VHY589916 UYC589916 UOG589916 UEK589916 TUO589916 TKS589916 TAW589916 SRA589916 SHE589916 RXI589916 RNM589916 RDQ589916 QTU589916 QJY589916 QAC589916 PQG589916 PGK589916 OWO589916 OMS589916 OCW589916 NTA589916 NJE589916 MZI589916 MPM589916 MFQ589916 LVU589916 LLY589916 LCC589916 KSG589916 KIK589916 JYO589916 JOS589916 JEW589916 IVA589916 ILE589916 IBI589916 HRM589916 HHQ589916 GXU589916 GNY589916 GEC589916 FUG589916 FKK589916 FAO589916 EQS589916 EGW589916 DXA589916 DNE589916 DDI589916 CTM589916 CJQ589916 BZU589916 BPY589916 BGC589916 AWG589916 AMK589916 ACO589916 SS589916 IW589916 A589851 WVI524380 WLM524380 WBQ524380 VRU524380 VHY524380 UYC524380 UOG524380 UEK524380 TUO524380 TKS524380 TAW524380 SRA524380 SHE524380 RXI524380 RNM524380 RDQ524380 QTU524380 QJY524380 QAC524380 PQG524380 PGK524380 OWO524380 OMS524380 OCW524380 NTA524380 NJE524380 MZI524380 MPM524380 MFQ524380 LVU524380 LLY524380 LCC524380 KSG524380 KIK524380 JYO524380 JOS524380 JEW524380 IVA524380 ILE524380 IBI524380 HRM524380 HHQ524380 GXU524380 GNY524380 GEC524380 FUG524380 FKK524380 FAO524380 EQS524380 EGW524380 DXA524380 DNE524380 DDI524380 CTM524380 CJQ524380 BZU524380 BPY524380 BGC524380 AWG524380 AMK524380 ACO524380 SS524380 IW524380 A524315 WVI458844 WLM458844 WBQ458844 VRU458844 VHY458844 UYC458844 UOG458844 UEK458844 TUO458844 TKS458844 TAW458844 SRA458844 SHE458844 RXI458844 RNM458844 RDQ458844 QTU458844 QJY458844 QAC458844 PQG458844 PGK458844 OWO458844 OMS458844 OCW458844 NTA458844 NJE458844 MZI458844 MPM458844 MFQ458844 LVU458844 LLY458844 LCC458844 KSG458844 KIK458844 JYO458844 JOS458844 JEW458844 IVA458844 ILE458844 IBI458844 HRM458844 HHQ458844 GXU458844 GNY458844 GEC458844 FUG458844 FKK458844 FAO458844 EQS458844 EGW458844 DXA458844 DNE458844 DDI458844 CTM458844 CJQ458844 BZU458844 BPY458844 BGC458844 AWG458844 AMK458844 ACO458844 SS458844 IW458844 A458779 WVI393308 WLM393308 WBQ393308 VRU393308 VHY393308 UYC393308 UOG393308 UEK393308 TUO393308 TKS393308 TAW393308 SRA393308 SHE393308 RXI393308 RNM393308 RDQ393308 QTU393308 QJY393308 QAC393308 PQG393308 PGK393308 OWO393308 OMS393308 OCW393308 NTA393308 NJE393308 MZI393308 MPM393308 MFQ393308 LVU393308 LLY393308 LCC393308 KSG393308 KIK393308 JYO393308 JOS393308 JEW393308 IVA393308 ILE393308 IBI393308 HRM393308 HHQ393308 GXU393308 GNY393308 GEC393308 FUG393308 FKK393308 FAO393308 EQS393308 EGW393308 DXA393308 DNE393308 DDI393308 CTM393308 CJQ393308 BZU393308 BPY393308 BGC393308 AWG393308 AMK393308 ACO393308 SS393308 IW393308 A393243 WVI327772 WLM327772 WBQ327772 VRU327772 VHY327772 UYC327772 UOG327772 UEK327772 TUO327772 TKS327772 TAW327772 SRA327772 SHE327772 RXI327772 RNM327772 RDQ327772 QTU327772 QJY327772 QAC327772 PQG327772 PGK327772 OWO327772 OMS327772 OCW327772 NTA327772 NJE327772 MZI327772 MPM327772 MFQ327772 LVU327772 LLY327772 LCC327772 KSG327772 KIK327772 JYO327772 JOS327772 JEW327772 IVA327772 ILE327772 IBI327772 HRM327772 HHQ327772 GXU327772 GNY327772 GEC327772 FUG327772 FKK327772 FAO327772 EQS327772 EGW327772 DXA327772 DNE327772 DDI327772 CTM327772 CJQ327772 BZU327772 BPY327772 BGC327772 AWG327772 AMK327772 ACO327772 SS327772 IW327772 A327707 WVI262236 WLM262236 WBQ262236 VRU262236 VHY262236 UYC262236 UOG262236 UEK262236 TUO262236 TKS262236 TAW262236 SRA262236 SHE262236 RXI262236 RNM262236 RDQ262236 QTU262236 QJY262236 QAC262236 PQG262236 PGK262236 OWO262236 OMS262236 OCW262236 NTA262236 NJE262236 MZI262236 MPM262236 MFQ262236 LVU262236 LLY262236 LCC262236 KSG262236 KIK262236 JYO262236 JOS262236 JEW262236 IVA262236 ILE262236 IBI262236 HRM262236 HHQ262236 GXU262236 GNY262236 GEC262236 FUG262236 FKK262236 FAO262236 EQS262236 EGW262236 DXA262236 DNE262236 DDI262236 CTM262236 CJQ262236 BZU262236 BPY262236 BGC262236 AWG262236 AMK262236 ACO262236 SS262236 IW262236 A262171 WVI196700 WLM196700 WBQ196700 VRU196700 VHY196700 UYC196700 UOG196700 UEK196700 TUO196700 TKS196700 TAW196700 SRA196700 SHE196700 RXI196700 RNM196700 RDQ196700 QTU196700 QJY196700 QAC196700 PQG196700 PGK196700 OWO196700 OMS196700 OCW196700 NTA196700 NJE196700 MZI196700 MPM196700 MFQ196700 LVU196700 LLY196700 LCC196700 KSG196700 KIK196700 JYO196700 JOS196700 JEW196700 IVA196700 ILE196700 IBI196700 HRM196700 HHQ196700 GXU196700 GNY196700 GEC196700 FUG196700 FKK196700 FAO196700 EQS196700 EGW196700 DXA196700 DNE196700 DDI196700 CTM196700 CJQ196700 BZU196700 BPY196700 BGC196700 AWG196700 AMK196700 ACO196700 SS196700 IW196700 A196635 WVI131164 WLM131164 WBQ131164 VRU131164 VHY131164 UYC131164 UOG131164 UEK131164 TUO131164 TKS131164 TAW131164 SRA131164 SHE131164 RXI131164 RNM131164 RDQ131164 QTU131164 QJY131164 QAC131164 PQG131164 PGK131164 OWO131164 OMS131164 OCW131164 NTA131164 NJE131164 MZI131164 MPM131164 MFQ131164 LVU131164 LLY131164 LCC131164 KSG131164 KIK131164 JYO131164 JOS131164 JEW131164 IVA131164 ILE131164 IBI131164 HRM131164 HHQ131164 GXU131164 GNY131164 GEC131164 FUG131164 FKK131164 FAO131164 EQS131164 EGW131164 DXA131164 DNE131164 DDI131164 CTM131164 CJQ131164 BZU131164 BPY131164 BGC131164 AWG131164 AMK131164 ACO131164 SS131164 IW131164 A131099 WVI65628 WLM65628 WBQ65628 VRU65628 VHY65628 UYC65628 UOG65628 UEK65628 TUO65628 TKS65628 TAW65628 SRA65628 SHE65628 RXI65628 RNM65628 RDQ65628 QTU65628 QJY65628 QAC65628 PQG65628 PGK65628 OWO65628 OMS65628 OCW65628 NTA65628 NJE65628 MZI65628 MPM65628 MFQ65628 LVU65628 LLY65628 LCC65628 KSG65628 KIK65628 JYO65628 JOS65628 JEW65628 IVA65628 ILE65628 IBI65628 HRM65628 HHQ65628 GXU65628 GNY65628 GEC65628 FUG65628 FKK65628 FAO65628 EQS65628 EGW65628 DXA65628 DNE65628 DDI65628 CTM65628 CJQ65628 BZU65628 BPY65628 BGC65628 AWG65628 AMK65628 ACO65628 SS65628 IW65628 A65563 WVI93 WLM93 WBQ93 VRU93 VHY93 UYC93 UOG93 UEK93 TUO93 TKS93 TAW93 SRA93 SHE93 RXI93 RNM93 RDQ93 QTU93 QJY93 QAC93 PQG93 PGK93 OWO93 OMS93 OCW93 NTA93 NJE93 MZI93 MPM93 MFQ93 LVU93 LLY93 LCC93 KSG93 KIK93 JYO93 JOS93 JEW93 IVA93 ILE93 IBI93 HRM93 HHQ93 GXU93 GNY93 GEC93 FUG93 FKK93 FAO93 EQS93 EGW93 DXA93 DNE93 DDI93 CTM93 CJQ93 BZU93 BPY93 BGC93 AWG93 AMK93 ACO93 SS93 IW93 A93 WVI983147 WLM983147 WBQ983147 VRU983147 VHY983147 UYC983147 UOG983147 UEK983147 TUO983147 TKS983147 TAW983147 SRA983147 SHE983147 RXI983147 RNM983147 RDQ983147 QTU983147 QJY983147 QAC983147 PQG983147 PGK983147 OWO983147 OMS983147 OCW983147 NTA983147 NJE983147 MZI983147 MPM983147 MFQ983147 LVU983147 LLY983147 LCC983147 KSG983147 KIK983147 JYO983147 JOS983147 JEW983147 IVA983147 ILE983147 IBI983147 HRM983147 HHQ983147 GXU983147 GNY983147 GEC983147 FUG983147 FKK983147 FAO983147 EQS983147 EGW983147 DXA983147 DNE983147 DDI983147 CTM983147 CJQ983147 BZU983147 BPY983147 BGC983147 AWG983147 AMK983147 ACO983147 SS983147 IW983147 A983082 WVI917611 WLM917611 WBQ917611 VRU917611 VHY917611 UYC917611 UOG917611 UEK917611 TUO917611 TKS917611 TAW917611 SRA917611 SHE917611 RXI917611 RNM917611 RDQ917611 QTU917611 QJY917611 QAC917611 PQG917611 PGK917611 OWO917611 OMS917611 OCW917611 NTA917611 NJE917611 MZI917611 MPM917611 MFQ917611 LVU917611 LLY917611 LCC917611 KSG917611 KIK917611 JYO917611 JOS917611 JEW917611 IVA917611 ILE917611 IBI917611 HRM917611 HHQ917611 GXU917611 GNY917611 GEC917611 FUG917611 FKK917611 FAO917611 EQS917611 EGW917611 DXA917611 DNE917611 DDI917611 CTM917611 CJQ917611 BZU917611 BPY917611 BGC917611 AWG917611 AMK917611 ACO917611 SS917611 IW917611 A917546 WVI852075 WLM852075 WBQ852075 VRU852075 VHY852075 UYC852075 UOG852075 UEK852075 TUO852075 TKS852075 TAW852075 SRA852075 SHE852075 RXI852075 RNM852075 RDQ852075 QTU852075 QJY852075 QAC852075 PQG852075 PGK852075 OWO852075 OMS852075 OCW852075 NTA852075 NJE852075 MZI852075 MPM852075 MFQ852075 LVU852075 LLY852075 LCC852075 KSG852075 KIK852075 JYO852075 JOS852075 JEW852075 IVA852075 ILE852075 IBI852075 HRM852075 HHQ852075 GXU852075 GNY852075 GEC852075 FUG852075 FKK852075 FAO852075 EQS852075 EGW852075 DXA852075 DNE852075 DDI852075 CTM852075 CJQ852075 BZU852075 BPY852075 BGC852075 AWG852075 AMK852075 ACO852075 SS852075 IW852075 A852010 WVI786539 WLM786539 WBQ786539 VRU786539 VHY786539 UYC786539 UOG786539 UEK786539 TUO786539 TKS786539 TAW786539 SRA786539 SHE786539 RXI786539 RNM786539 RDQ786539 QTU786539 QJY786539 QAC786539 PQG786539 PGK786539 OWO786539 OMS786539 OCW786539 NTA786539 NJE786539 MZI786539 MPM786539 MFQ786539 LVU786539 LLY786539 LCC786539 KSG786539 KIK786539 JYO786539 JOS786539 JEW786539 IVA786539 ILE786539 IBI786539 HRM786539 HHQ786539 GXU786539 GNY786539 GEC786539 FUG786539 FKK786539 FAO786539 EQS786539 EGW786539 DXA786539 DNE786539 DDI786539 CTM786539 CJQ786539 BZU786539 BPY786539 BGC786539 AWG786539 AMK786539 ACO786539 SS786539 IW786539 A786474 WVI721003 WLM721003 WBQ721003 VRU721003 VHY721003 UYC721003 UOG721003 UEK721003 TUO721003 TKS721003 TAW721003 SRA721003 SHE721003 RXI721003 RNM721003 RDQ721003 QTU721003 QJY721003 QAC721003 PQG721003 PGK721003 OWO721003 OMS721003 OCW721003 NTA721003 NJE721003 MZI721003 MPM721003 MFQ721003 LVU721003 LLY721003 LCC721003 KSG721003 KIK721003 JYO721003 JOS721003 JEW721003 IVA721003 ILE721003 IBI721003 HRM721003 HHQ721003 GXU721003 GNY721003 GEC721003 FUG721003 FKK721003 FAO721003 EQS721003 EGW721003 DXA721003 DNE721003 DDI721003 CTM721003 CJQ721003 BZU721003 BPY721003 BGC721003 AWG721003 AMK721003 ACO721003 SS721003 IW721003 A720938 WVI655467 WLM655467 WBQ655467 VRU655467 VHY655467 UYC655467 UOG655467 UEK655467 TUO655467 TKS655467 TAW655467 SRA655467 SHE655467 RXI655467 RNM655467 RDQ655467 QTU655467 QJY655467 QAC655467 PQG655467 PGK655467 OWO655467 OMS655467 OCW655467 NTA655467 NJE655467 MZI655467 MPM655467 MFQ655467 LVU655467 LLY655467 LCC655467 KSG655467 KIK655467 JYO655467 JOS655467 JEW655467 IVA655467 ILE655467 IBI655467 HRM655467 HHQ655467 GXU655467 GNY655467 GEC655467 FUG655467 FKK655467 FAO655467 EQS655467 EGW655467 DXA655467 DNE655467 DDI655467 CTM655467 CJQ655467 BZU655467 BPY655467 BGC655467 AWG655467 AMK655467 ACO655467 SS655467 IW655467 A655402 WVI589931 WLM589931 WBQ589931 VRU589931 VHY589931 UYC589931 UOG589931 UEK589931 TUO589931 TKS589931 TAW589931 SRA589931 SHE589931 RXI589931 RNM589931 RDQ589931 QTU589931 QJY589931 QAC589931 PQG589931 PGK589931 OWO589931 OMS589931 OCW589931 NTA589931 NJE589931 MZI589931 MPM589931 MFQ589931 LVU589931 LLY589931 LCC589931 KSG589931 KIK589931 JYO589931 JOS589931 JEW589931 IVA589931 ILE589931 IBI589931 HRM589931 HHQ589931 GXU589931 GNY589931 GEC589931 FUG589931 FKK589931 FAO589931 EQS589931 EGW589931 DXA589931 DNE589931 DDI589931 CTM589931 CJQ589931 BZU589931 BPY589931 BGC589931 AWG589931 AMK589931 ACO589931 SS589931 IW589931 A589866 WVI524395 WLM524395 WBQ524395 VRU524395 VHY524395 UYC524395 UOG524395 UEK524395 TUO524395 TKS524395 TAW524395 SRA524395 SHE524395 RXI524395 RNM524395 RDQ524395 QTU524395 QJY524395 QAC524395 PQG524395 PGK524395 OWO524395 OMS524395 OCW524395 NTA524395 NJE524395 MZI524395 MPM524395 MFQ524395 LVU524395 LLY524395 LCC524395 KSG524395 KIK524395 JYO524395 JOS524395 JEW524395 IVA524395 ILE524395 IBI524395 HRM524395 HHQ524395 GXU524395 GNY524395 GEC524395 FUG524395 FKK524395 FAO524395 EQS524395 EGW524395 DXA524395 DNE524395 DDI524395 CTM524395 CJQ524395 BZU524395 BPY524395 BGC524395 AWG524395 AMK524395 ACO524395 SS524395 IW524395 A524330 WVI458859 WLM458859 WBQ458859 VRU458859 VHY458859 UYC458859 UOG458859 UEK458859 TUO458859 TKS458859 TAW458859 SRA458859 SHE458859 RXI458859 RNM458859 RDQ458859 QTU458859 QJY458859 QAC458859 PQG458859 PGK458859 OWO458859 OMS458859 OCW458859 NTA458859 NJE458859 MZI458859 MPM458859 MFQ458859 LVU458859 LLY458859 LCC458859 KSG458859 KIK458859 JYO458859 JOS458859 JEW458859 IVA458859 ILE458859 IBI458859 HRM458859 HHQ458859 GXU458859 GNY458859 GEC458859 FUG458859 FKK458859 FAO458859 EQS458859 EGW458859 DXA458859 DNE458859 DDI458859 CTM458859 CJQ458859 BZU458859 BPY458859 BGC458859 AWG458859 AMK458859 ACO458859 SS458859 IW458859 A458794 WVI393323 WLM393323 WBQ393323 VRU393323 VHY393323 UYC393323 UOG393323 UEK393323 TUO393323 TKS393323 TAW393323 SRA393323 SHE393323 RXI393323 RNM393323 RDQ393323 QTU393323 QJY393323 QAC393323 PQG393323 PGK393323 OWO393323 OMS393323 OCW393323 NTA393323 NJE393323 MZI393323 MPM393323 MFQ393323 LVU393323 LLY393323 LCC393323 KSG393323 KIK393323 JYO393323 JOS393323 JEW393323 IVA393323 ILE393323 IBI393323 HRM393323 HHQ393323 GXU393323 GNY393323 GEC393323 FUG393323 FKK393323 FAO393323 EQS393323 EGW393323 DXA393323 DNE393323 DDI393323 CTM393323 CJQ393323 BZU393323 BPY393323 BGC393323 AWG393323 AMK393323 ACO393323 SS393323 IW393323 A393258 WVI327787 WLM327787 WBQ327787 VRU327787 VHY327787 UYC327787 UOG327787 UEK327787 TUO327787 TKS327787 TAW327787 SRA327787 SHE327787 RXI327787 RNM327787 RDQ327787 QTU327787 QJY327787 QAC327787 PQG327787 PGK327787 OWO327787 OMS327787 OCW327787 NTA327787 NJE327787 MZI327787 MPM327787 MFQ327787 LVU327787 LLY327787 LCC327787 KSG327787 KIK327787 JYO327787 JOS327787 JEW327787 IVA327787 ILE327787 IBI327787 HRM327787 HHQ327787 GXU327787 GNY327787 GEC327787 FUG327787 FKK327787 FAO327787 EQS327787 EGW327787 DXA327787 DNE327787 DDI327787 CTM327787 CJQ327787 BZU327787 BPY327787 BGC327787 AWG327787 AMK327787 ACO327787 SS327787 IW327787 A327722 WVI262251 WLM262251 WBQ262251 VRU262251 VHY262251 UYC262251 UOG262251 UEK262251 TUO262251 TKS262251 TAW262251 SRA262251 SHE262251 RXI262251 RNM262251 RDQ262251 QTU262251 QJY262251 QAC262251 PQG262251 PGK262251 OWO262251 OMS262251 OCW262251 NTA262251 NJE262251 MZI262251 MPM262251 MFQ262251 LVU262251 LLY262251 LCC262251 KSG262251 KIK262251 JYO262251 JOS262251 JEW262251 IVA262251 ILE262251 IBI262251 HRM262251 HHQ262251 GXU262251 GNY262251 GEC262251 FUG262251 FKK262251 FAO262251 EQS262251 EGW262251 DXA262251 DNE262251 DDI262251 CTM262251 CJQ262251 BZU262251 BPY262251 BGC262251 AWG262251 AMK262251 ACO262251 SS262251 IW262251 A262186 WVI196715 WLM196715 WBQ196715 VRU196715 VHY196715 UYC196715 UOG196715 UEK196715 TUO196715 TKS196715 TAW196715 SRA196715 SHE196715 RXI196715 RNM196715 RDQ196715 QTU196715 QJY196715 QAC196715 PQG196715 PGK196715 OWO196715 OMS196715 OCW196715 NTA196715 NJE196715 MZI196715 MPM196715 MFQ196715 LVU196715 LLY196715 LCC196715 KSG196715 KIK196715 JYO196715 JOS196715 JEW196715 IVA196715 ILE196715 IBI196715 HRM196715 HHQ196715 GXU196715 GNY196715 GEC196715 FUG196715 FKK196715 FAO196715 EQS196715 EGW196715 DXA196715 DNE196715 DDI196715 CTM196715 CJQ196715 BZU196715 BPY196715 BGC196715 AWG196715 AMK196715 ACO196715 SS196715 IW196715 A196650 WVI131179 WLM131179 WBQ131179 VRU131179 VHY131179 UYC131179 UOG131179 UEK131179 TUO131179 TKS131179 TAW131179 SRA131179 SHE131179 RXI131179 RNM131179 RDQ131179 QTU131179 QJY131179 QAC131179 PQG131179 PGK131179 OWO131179 OMS131179 OCW131179 NTA131179 NJE131179 MZI131179 MPM131179 MFQ131179 LVU131179 LLY131179 LCC131179 KSG131179 KIK131179 JYO131179 JOS131179 JEW131179 IVA131179 ILE131179 IBI131179 HRM131179 HHQ131179 GXU131179 GNY131179 GEC131179 FUG131179 FKK131179 FAO131179 EQS131179 EGW131179 DXA131179 DNE131179 DDI131179 CTM131179 CJQ131179 BZU131179 BPY131179 BGC131179 AWG131179 AMK131179 ACO131179 SS131179 IW131179 A131114 WVI65643 WLM65643 WBQ65643 VRU65643 VHY65643 UYC65643 UOG65643 UEK65643 TUO65643 TKS65643 TAW65643 SRA65643 SHE65643 RXI65643 RNM65643 RDQ65643 QTU65643 QJY65643 QAC65643 PQG65643 PGK65643 OWO65643 OMS65643 OCW65643 NTA65643 NJE65643 MZI65643 MPM65643 MFQ65643 LVU65643 LLY65643 LCC65643 KSG65643 KIK65643 JYO65643 JOS65643 JEW65643 IVA65643 ILE65643 IBI65643 HRM65643 HHQ65643 GXU65643 GNY65643 GEC65643 FUG65643 FKK65643 FAO65643 EQS65643 EGW65643 DXA65643 DNE65643 DDI65643 CTM65643 CJQ65643 BZU65643 BPY65643 BGC65643 AWG65643 AMK65643 ACO65643 SS65643 IW65643 A65578 WVI108 WLM108 WBQ108 VRU108 VHY108 UYC108 UOG108 UEK108 TUO108 TKS108 TAW108 SRA108 SHE108 RXI108 RNM108 RDQ108 QTU108 QJY108 QAC108 PQG108 PGK108 OWO108 OMS108 OCW108 NTA108 NJE108 MZI108 MPM108 MFQ108 LVU108 LLY108 LCC108 KSG108 KIK108 JYO108 JOS108 JEW108 IVA108 ILE108 IBI108 HRM108 HHQ108 GXU108 GNY108 GEC108 FUG108 FKK108 FAO108 EQS108 EGW108 DXA108 DNE108 DDI108 CTM108 CJQ108 BZU108 BPY108 BGC108 AWG108 AMK108 ACO108 SS108 IW108" xr:uid="{99483D51-631B-4A0E-BCFE-748F12151B02}">
      <formula1>$A$94:$A$97</formula1>
    </dataValidation>
    <dataValidation type="list" allowBlank="1" showInputMessage="1" showErrorMessage="1" sqref="WVJ983066 IX26 ST26 ACP26 AML26 AWH26 BGD26 BPZ26 BZV26 CJR26 CTN26 DDJ26 DNF26 DXB26 EGX26 EQT26 FAP26 FKL26 FUH26 GED26 GNZ26 GXV26 HHR26 HRN26 IBJ26 ILF26 IVB26 JEX26 JOT26 JYP26 KIL26 KSH26 LCD26 LLZ26 LVV26 MFR26 MPN26 MZJ26 NJF26 NTB26 OCX26 OMT26 OWP26 PGL26 PQH26 QAD26 QJZ26 QTV26 RDR26 RNN26 RXJ26 SHF26 SRB26 TAX26 TKT26 TUP26 UEL26 UOH26 UYD26 VHZ26 VRV26 WBR26 WLN26 WVJ26 B65497 IX65562 ST65562 ACP65562 AML65562 AWH65562 BGD65562 BPZ65562 BZV65562 CJR65562 CTN65562 DDJ65562 DNF65562 DXB65562 EGX65562 EQT65562 FAP65562 FKL65562 FUH65562 GED65562 GNZ65562 GXV65562 HHR65562 HRN65562 IBJ65562 ILF65562 IVB65562 JEX65562 JOT65562 JYP65562 KIL65562 KSH65562 LCD65562 LLZ65562 LVV65562 MFR65562 MPN65562 MZJ65562 NJF65562 NTB65562 OCX65562 OMT65562 OWP65562 PGL65562 PQH65562 QAD65562 QJZ65562 QTV65562 RDR65562 RNN65562 RXJ65562 SHF65562 SRB65562 TAX65562 TKT65562 TUP65562 UEL65562 UOH65562 UYD65562 VHZ65562 VRV65562 WBR65562 WLN65562 WVJ65562 B131033 IX131098 ST131098 ACP131098 AML131098 AWH131098 BGD131098 BPZ131098 BZV131098 CJR131098 CTN131098 DDJ131098 DNF131098 DXB131098 EGX131098 EQT131098 FAP131098 FKL131098 FUH131098 GED131098 GNZ131098 GXV131098 HHR131098 HRN131098 IBJ131098 ILF131098 IVB131098 JEX131098 JOT131098 JYP131098 KIL131098 KSH131098 LCD131098 LLZ131098 LVV131098 MFR131098 MPN131098 MZJ131098 NJF131098 NTB131098 OCX131098 OMT131098 OWP131098 PGL131098 PQH131098 QAD131098 QJZ131098 QTV131098 RDR131098 RNN131098 RXJ131098 SHF131098 SRB131098 TAX131098 TKT131098 TUP131098 UEL131098 UOH131098 UYD131098 VHZ131098 VRV131098 WBR131098 WLN131098 WVJ131098 B196569 IX196634 ST196634 ACP196634 AML196634 AWH196634 BGD196634 BPZ196634 BZV196634 CJR196634 CTN196634 DDJ196634 DNF196634 DXB196634 EGX196634 EQT196634 FAP196634 FKL196634 FUH196634 GED196634 GNZ196634 GXV196634 HHR196634 HRN196634 IBJ196634 ILF196634 IVB196634 JEX196634 JOT196634 JYP196634 KIL196634 KSH196634 LCD196634 LLZ196634 LVV196634 MFR196634 MPN196634 MZJ196634 NJF196634 NTB196634 OCX196634 OMT196634 OWP196634 PGL196634 PQH196634 QAD196634 QJZ196634 QTV196634 RDR196634 RNN196634 RXJ196634 SHF196634 SRB196634 TAX196634 TKT196634 TUP196634 UEL196634 UOH196634 UYD196634 VHZ196634 VRV196634 WBR196634 WLN196634 WVJ196634 B262105 IX262170 ST262170 ACP262170 AML262170 AWH262170 BGD262170 BPZ262170 BZV262170 CJR262170 CTN262170 DDJ262170 DNF262170 DXB262170 EGX262170 EQT262170 FAP262170 FKL262170 FUH262170 GED262170 GNZ262170 GXV262170 HHR262170 HRN262170 IBJ262170 ILF262170 IVB262170 JEX262170 JOT262170 JYP262170 KIL262170 KSH262170 LCD262170 LLZ262170 LVV262170 MFR262170 MPN262170 MZJ262170 NJF262170 NTB262170 OCX262170 OMT262170 OWP262170 PGL262170 PQH262170 QAD262170 QJZ262170 QTV262170 RDR262170 RNN262170 RXJ262170 SHF262170 SRB262170 TAX262170 TKT262170 TUP262170 UEL262170 UOH262170 UYD262170 VHZ262170 VRV262170 WBR262170 WLN262170 WVJ262170 B327641 IX327706 ST327706 ACP327706 AML327706 AWH327706 BGD327706 BPZ327706 BZV327706 CJR327706 CTN327706 DDJ327706 DNF327706 DXB327706 EGX327706 EQT327706 FAP327706 FKL327706 FUH327706 GED327706 GNZ327706 GXV327706 HHR327706 HRN327706 IBJ327706 ILF327706 IVB327706 JEX327706 JOT327706 JYP327706 KIL327706 KSH327706 LCD327706 LLZ327706 LVV327706 MFR327706 MPN327706 MZJ327706 NJF327706 NTB327706 OCX327706 OMT327706 OWP327706 PGL327706 PQH327706 QAD327706 QJZ327706 QTV327706 RDR327706 RNN327706 RXJ327706 SHF327706 SRB327706 TAX327706 TKT327706 TUP327706 UEL327706 UOH327706 UYD327706 VHZ327706 VRV327706 WBR327706 WLN327706 WVJ327706 B393177 IX393242 ST393242 ACP393242 AML393242 AWH393242 BGD393242 BPZ393242 BZV393242 CJR393242 CTN393242 DDJ393242 DNF393242 DXB393242 EGX393242 EQT393242 FAP393242 FKL393242 FUH393242 GED393242 GNZ393242 GXV393242 HHR393242 HRN393242 IBJ393242 ILF393242 IVB393242 JEX393242 JOT393242 JYP393242 KIL393242 KSH393242 LCD393242 LLZ393242 LVV393242 MFR393242 MPN393242 MZJ393242 NJF393242 NTB393242 OCX393242 OMT393242 OWP393242 PGL393242 PQH393242 QAD393242 QJZ393242 QTV393242 RDR393242 RNN393242 RXJ393242 SHF393242 SRB393242 TAX393242 TKT393242 TUP393242 UEL393242 UOH393242 UYD393242 VHZ393242 VRV393242 WBR393242 WLN393242 WVJ393242 B458713 IX458778 ST458778 ACP458778 AML458778 AWH458778 BGD458778 BPZ458778 BZV458778 CJR458778 CTN458778 DDJ458778 DNF458778 DXB458778 EGX458778 EQT458778 FAP458778 FKL458778 FUH458778 GED458778 GNZ458778 GXV458778 HHR458778 HRN458778 IBJ458778 ILF458778 IVB458778 JEX458778 JOT458778 JYP458778 KIL458778 KSH458778 LCD458778 LLZ458778 LVV458778 MFR458778 MPN458778 MZJ458778 NJF458778 NTB458778 OCX458778 OMT458778 OWP458778 PGL458778 PQH458778 QAD458778 QJZ458778 QTV458778 RDR458778 RNN458778 RXJ458778 SHF458778 SRB458778 TAX458778 TKT458778 TUP458778 UEL458778 UOH458778 UYD458778 VHZ458778 VRV458778 WBR458778 WLN458778 WVJ458778 B524249 IX524314 ST524314 ACP524314 AML524314 AWH524314 BGD524314 BPZ524314 BZV524314 CJR524314 CTN524314 DDJ524314 DNF524314 DXB524314 EGX524314 EQT524314 FAP524314 FKL524314 FUH524314 GED524314 GNZ524314 GXV524314 HHR524314 HRN524314 IBJ524314 ILF524314 IVB524314 JEX524314 JOT524314 JYP524314 KIL524314 KSH524314 LCD524314 LLZ524314 LVV524314 MFR524314 MPN524314 MZJ524314 NJF524314 NTB524314 OCX524314 OMT524314 OWP524314 PGL524314 PQH524314 QAD524314 QJZ524314 QTV524314 RDR524314 RNN524314 RXJ524314 SHF524314 SRB524314 TAX524314 TKT524314 TUP524314 UEL524314 UOH524314 UYD524314 VHZ524314 VRV524314 WBR524314 WLN524314 WVJ524314 B589785 IX589850 ST589850 ACP589850 AML589850 AWH589850 BGD589850 BPZ589850 BZV589850 CJR589850 CTN589850 DDJ589850 DNF589850 DXB589850 EGX589850 EQT589850 FAP589850 FKL589850 FUH589850 GED589850 GNZ589850 GXV589850 HHR589850 HRN589850 IBJ589850 ILF589850 IVB589850 JEX589850 JOT589850 JYP589850 KIL589850 KSH589850 LCD589850 LLZ589850 LVV589850 MFR589850 MPN589850 MZJ589850 NJF589850 NTB589850 OCX589850 OMT589850 OWP589850 PGL589850 PQH589850 QAD589850 QJZ589850 QTV589850 RDR589850 RNN589850 RXJ589850 SHF589850 SRB589850 TAX589850 TKT589850 TUP589850 UEL589850 UOH589850 UYD589850 VHZ589850 VRV589850 WBR589850 WLN589850 WVJ589850 B655321 IX655386 ST655386 ACP655386 AML655386 AWH655386 BGD655386 BPZ655386 BZV655386 CJR655386 CTN655386 DDJ655386 DNF655386 DXB655386 EGX655386 EQT655386 FAP655386 FKL655386 FUH655386 GED655386 GNZ655386 GXV655386 HHR655386 HRN655386 IBJ655386 ILF655386 IVB655386 JEX655386 JOT655386 JYP655386 KIL655386 KSH655386 LCD655386 LLZ655386 LVV655386 MFR655386 MPN655386 MZJ655386 NJF655386 NTB655386 OCX655386 OMT655386 OWP655386 PGL655386 PQH655386 QAD655386 QJZ655386 QTV655386 RDR655386 RNN655386 RXJ655386 SHF655386 SRB655386 TAX655386 TKT655386 TUP655386 UEL655386 UOH655386 UYD655386 VHZ655386 VRV655386 WBR655386 WLN655386 WVJ655386 B720857 IX720922 ST720922 ACP720922 AML720922 AWH720922 BGD720922 BPZ720922 BZV720922 CJR720922 CTN720922 DDJ720922 DNF720922 DXB720922 EGX720922 EQT720922 FAP720922 FKL720922 FUH720922 GED720922 GNZ720922 GXV720922 HHR720922 HRN720922 IBJ720922 ILF720922 IVB720922 JEX720922 JOT720922 JYP720922 KIL720922 KSH720922 LCD720922 LLZ720922 LVV720922 MFR720922 MPN720922 MZJ720922 NJF720922 NTB720922 OCX720922 OMT720922 OWP720922 PGL720922 PQH720922 QAD720922 QJZ720922 QTV720922 RDR720922 RNN720922 RXJ720922 SHF720922 SRB720922 TAX720922 TKT720922 TUP720922 UEL720922 UOH720922 UYD720922 VHZ720922 VRV720922 WBR720922 WLN720922 WVJ720922 B786393 IX786458 ST786458 ACP786458 AML786458 AWH786458 BGD786458 BPZ786458 BZV786458 CJR786458 CTN786458 DDJ786458 DNF786458 DXB786458 EGX786458 EQT786458 FAP786458 FKL786458 FUH786458 GED786458 GNZ786458 GXV786458 HHR786458 HRN786458 IBJ786458 ILF786458 IVB786458 JEX786458 JOT786458 JYP786458 KIL786458 KSH786458 LCD786458 LLZ786458 LVV786458 MFR786458 MPN786458 MZJ786458 NJF786458 NTB786458 OCX786458 OMT786458 OWP786458 PGL786458 PQH786458 QAD786458 QJZ786458 QTV786458 RDR786458 RNN786458 RXJ786458 SHF786458 SRB786458 TAX786458 TKT786458 TUP786458 UEL786458 UOH786458 UYD786458 VHZ786458 VRV786458 WBR786458 WLN786458 WVJ786458 B851929 IX851994 ST851994 ACP851994 AML851994 AWH851994 BGD851994 BPZ851994 BZV851994 CJR851994 CTN851994 DDJ851994 DNF851994 DXB851994 EGX851994 EQT851994 FAP851994 FKL851994 FUH851994 GED851994 GNZ851994 GXV851994 HHR851994 HRN851994 IBJ851994 ILF851994 IVB851994 JEX851994 JOT851994 JYP851994 KIL851994 KSH851994 LCD851994 LLZ851994 LVV851994 MFR851994 MPN851994 MZJ851994 NJF851994 NTB851994 OCX851994 OMT851994 OWP851994 PGL851994 PQH851994 QAD851994 QJZ851994 QTV851994 RDR851994 RNN851994 RXJ851994 SHF851994 SRB851994 TAX851994 TKT851994 TUP851994 UEL851994 UOH851994 UYD851994 VHZ851994 VRV851994 WBR851994 WLN851994 WVJ851994 B917465 IX917530 ST917530 ACP917530 AML917530 AWH917530 BGD917530 BPZ917530 BZV917530 CJR917530 CTN917530 DDJ917530 DNF917530 DXB917530 EGX917530 EQT917530 FAP917530 FKL917530 FUH917530 GED917530 GNZ917530 GXV917530 HHR917530 HRN917530 IBJ917530 ILF917530 IVB917530 JEX917530 JOT917530 JYP917530 KIL917530 KSH917530 LCD917530 LLZ917530 LVV917530 MFR917530 MPN917530 MZJ917530 NJF917530 NTB917530 OCX917530 OMT917530 OWP917530 PGL917530 PQH917530 QAD917530 QJZ917530 QTV917530 RDR917530 RNN917530 RXJ917530 SHF917530 SRB917530 TAX917530 TKT917530 TUP917530 UEL917530 UOH917530 UYD917530 VHZ917530 VRV917530 WBR917530 WLN917530 WVJ917530 B983001 IX983066 ST983066 ACP983066 AML983066 AWH983066 BGD983066 BPZ983066 BZV983066 CJR983066 CTN983066 DDJ983066 DNF983066 DXB983066 EGX983066 EQT983066 FAP983066 FKL983066 FUH983066 GED983066 GNZ983066 GXV983066 HHR983066 HRN983066 IBJ983066 ILF983066 IVB983066 JEX983066 JOT983066 JYP983066 KIL983066 KSH983066 LCD983066 LLZ983066 LVV983066 MFR983066 MPN983066 MZJ983066 NJF983066 NTB983066 OCX983066 OMT983066 OWP983066 PGL983066 PQH983066 QAD983066 QJZ983066 QTV983066 RDR983066 RNN983066 RXJ983066 SHF983066 SRB983066 TAX983066 TKT983066 TUP983066 UEL983066 UOH983066 UYD983066 VHZ983066 VRV983066 WBR983066 WLN983066" xr:uid="{0AD923C5-FC0A-4F10-BCBD-A6000F723E80}">
      <formula1>$T$2:$T$71</formula1>
    </dataValidation>
    <dataValidation type="list" allowBlank="1" showInputMessage="1" showErrorMessage="1" sqref="B39 IX39 ST39 ACP39 AML39 AWH39 BGD39 BPZ39 BZV39 CJR39 CTN39 DDJ39 DNF39 DXB39 EGX39 EQT39 FAP39 FKL39 FUH39 GED39 GNZ39 GXV39 HHR39 HRN39 IBJ39 ILF39 IVB39 JEX39 JOT39 JYP39 KIL39 KSH39 LCD39 LLZ39 LVV39 MFR39 MPN39 MZJ39 NJF39 NTB39 OCX39 OMT39 OWP39 PGL39 PQH39 QAD39 QJZ39 QTV39 RDR39 RNN39 RXJ39 SHF39 SRB39 TAX39 TKT39 TUP39 UEL39 UOH39 UYD39 VHZ39 VRV39 WBR39 WLN39 WVJ39 B65510 IX65575 ST65575 ACP65575 AML65575 AWH65575 BGD65575 BPZ65575 BZV65575 CJR65575 CTN65575 DDJ65575 DNF65575 DXB65575 EGX65575 EQT65575 FAP65575 FKL65575 FUH65575 GED65575 GNZ65575 GXV65575 HHR65575 HRN65575 IBJ65575 ILF65575 IVB65575 JEX65575 JOT65575 JYP65575 KIL65575 KSH65575 LCD65575 LLZ65575 LVV65575 MFR65575 MPN65575 MZJ65575 NJF65575 NTB65575 OCX65575 OMT65575 OWP65575 PGL65575 PQH65575 QAD65575 QJZ65575 QTV65575 RDR65575 RNN65575 RXJ65575 SHF65575 SRB65575 TAX65575 TKT65575 TUP65575 UEL65575 UOH65575 UYD65575 VHZ65575 VRV65575 WBR65575 WLN65575 WVJ65575 B131046 IX131111 ST131111 ACP131111 AML131111 AWH131111 BGD131111 BPZ131111 BZV131111 CJR131111 CTN131111 DDJ131111 DNF131111 DXB131111 EGX131111 EQT131111 FAP131111 FKL131111 FUH131111 GED131111 GNZ131111 GXV131111 HHR131111 HRN131111 IBJ131111 ILF131111 IVB131111 JEX131111 JOT131111 JYP131111 KIL131111 KSH131111 LCD131111 LLZ131111 LVV131111 MFR131111 MPN131111 MZJ131111 NJF131111 NTB131111 OCX131111 OMT131111 OWP131111 PGL131111 PQH131111 QAD131111 QJZ131111 QTV131111 RDR131111 RNN131111 RXJ131111 SHF131111 SRB131111 TAX131111 TKT131111 TUP131111 UEL131111 UOH131111 UYD131111 VHZ131111 VRV131111 WBR131111 WLN131111 WVJ131111 B196582 IX196647 ST196647 ACP196647 AML196647 AWH196647 BGD196647 BPZ196647 BZV196647 CJR196647 CTN196647 DDJ196647 DNF196647 DXB196647 EGX196647 EQT196647 FAP196647 FKL196647 FUH196647 GED196647 GNZ196647 GXV196647 HHR196647 HRN196647 IBJ196647 ILF196647 IVB196647 JEX196647 JOT196647 JYP196647 KIL196647 KSH196647 LCD196647 LLZ196647 LVV196647 MFR196647 MPN196647 MZJ196647 NJF196647 NTB196647 OCX196647 OMT196647 OWP196647 PGL196647 PQH196647 QAD196647 QJZ196647 QTV196647 RDR196647 RNN196647 RXJ196647 SHF196647 SRB196647 TAX196647 TKT196647 TUP196647 UEL196647 UOH196647 UYD196647 VHZ196647 VRV196647 WBR196647 WLN196647 WVJ196647 B262118 IX262183 ST262183 ACP262183 AML262183 AWH262183 BGD262183 BPZ262183 BZV262183 CJR262183 CTN262183 DDJ262183 DNF262183 DXB262183 EGX262183 EQT262183 FAP262183 FKL262183 FUH262183 GED262183 GNZ262183 GXV262183 HHR262183 HRN262183 IBJ262183 ILF262183 IVB262183 JEX262183 JOT262183 JYP262183 KIL262183 KSH262183 LCD262183 LLZ262183 LVV262183 MFR262183 MPN262183 MZJ262183 NJF262183 NTB262183 OCX262183 OMT262183 OWP262183 PGL262183 PQH262183 QAD262183 QJZ262183 QTV262183 RDR262183 RNN262183 RXJ262183 SHF262183 SRB262183 TAX262183 TKT262183 TUP262183 UEL262183 UOH262183 UYD262183 VHZ262183 VRV262183 WBR262183 WLN262183 WVJ262183 B327654 IX327719 ST327719 ACP327719 AML327719 AWH327719 BGD327719 BPZ327719 BZV327719 CJR327719 CTN327719 DDJ327719 DNF327719 DXB327719 EGX327719 EQT327719 FAP327719 FKL327719 FUH327719 GED327719 GNZ327719 GXV327719 HHR327719 HRN327719 IBJ327719 ILF327719 IVB327719 JEX327719 JOT327719 JYP327719 KIL327719 KSH327719 LCD327719 LLZ327719 LVV327719 MFR327719 MPN327719 MZJ327719 NJF327719 NTB327719 OCX327719 OMT327719 OWP327719 PGL327719 PQH327719 QAD327719 QJZ327719 QTV327719 RDR327719 RNN327719 RXJ327719 SHF327719 SRB327719 TAX327719 TKT327719 TUP327719 UEL327719 UOH327719 UYD327719 VHZ327719 VRV327719 WBR327719 WLN327719 WVJ327719 B393190 IX393255 ST393255 ACP393255 AML393255 AWH393255 BGD393255 BPZ393255 BZV393255 CJR393255 CTN393255 DDJ393255 DNF393255 DXB393255 EGX393255 EQT393255 FAP393255 FKL393255 FUH393255 GED393255 GNZ393255 GXV393255 HHR393255 HRN393255 IBJ393255 ILF393255 IVB393255 JEX393255 JOT393255 JYP393255 KIL393255 KSH393255 LCD393255 LLZ393255 LVV393255 MFR393255 MPN393255 MZJ393255 NJF393255 NTB393255 OCX393255 OMT393255 OWP393255 PGL393255 PQH393255 QAD393255 QJZ393255 QTV393255 RDR393255 RNN393255 RXJ393255 SHF393255 SRB393255 TAX393255 TKT393255 TUP393255 UEL393255 UOH393255 UYD393255 VHZ393255 VRV393255 WBR393255 WLN393255 WVJ393255 B458726 IX458791 ST458791 ACP458791 AML458791 AWH458791 BGD458791 BPZ458791 BZV458791 CJR458791 CTN458791 DDJ458791 DNF458791 DXB458791 EGX458791 EQT458791 FAP458791 FKL458791 FUH458791 GED458791 GNZ458791 GXV458791 HHR458791 HRN458791 IBJ458791 ILF458791 IVB458791 JEX458791 JOT458791 JYP458791 KIL458791 KSH458791 LCD458791 LLZ458791 LVV458791 MFR458791 MPN458791 MZJ458791 NJF458791 NTB458791 OCX458791 OMT458791 OWP458791 PGL458791 PQH458791 QAD458791 QJZ458791 QTV458791 RDR458791 RNN458791 RXJ458791 SHF458791 SRB458791 TAX458791 TKT458791 TUP458791 UEL458791 UOH458791 UYD458791 VHZ458791 VRV458791 WBR458791 WLN458791 WVJ458791 B524262 IX524327 ST524327 ACP524327 AML524327 AWH524327 BGD524327 BPZ524327 BZV524327 CJR524327 CTN524327 DDJ524327 DNF524327 DXB524327 EGX524327 EQT524327 FAP524327 FKL524327 FUH524327 GED524327 GNZ524327 GXV524327 HHR524327 HRN524327 IBJ524327 ILF524327 IVB524327 JEX524327 JOT524327 JYP524327 KIL524327 KSH524327 LCD524327 LLZ524327 LVV524327 MFR524327 MPN524327 MZJ524327 NJF524327 NTB524327 OCX524327 OMT524327 OWP524327 PGL524327 PQH524327 QAD524327 QJZ524327 QTV524327 RDR524327 RNN524327 RXJ524327 SHF524327 SRB524327 TAX524327 TKT524327 TUP524327 UEL524327 UOH524327 UYD524327 VHZ524327 VRV524327 WBR524327 WLN524327 WVJ524327 B589798 IX589863 ST589863 ACP589863 AML589863 AWH589863 BGD589863 BPZ589863 BZV589863 CJR589863 CTN589863 DDJ589863 DNF589863 DXB589863 EGX589863 EQT589863 FAP589863 FKL589863 FUH589863 GED589863 GNZ589863 GXV589863 HHR589863 HRN589863 IBJ589863 ILF589863 IVB589863 JEX589863 JOT589863 JYP589863 KIL589863 KSH589863 LCD589863 LLZ589863 LVV589863 MFR589863 MPN589863 MZJ589863 NJF589863 NTB589863 OCX589863 OMT589863 OWP589863 PGL589863 PQH589863 QAD589863 QJZ589863 QTV589863 RDR589863 RNN589863 RXJ589863 SHF589863 SRB589863 TAX589863 TKT589863 TUP589863 UEL589863 UOH589863 UYD589863 VHZ589863 VRV589863 WBR589863 WLN589863 WVJ589863 B655334 IX655399 ST655399 ACP655399 AML655399 AWH655399 BGD655399 BPZ655399 BZV655399 CJR655399 CTN655399 DDJ655399 DNF655399 DXB655399 EGX655399 EQT655399 FAP655399 FKL655399 FUH655399 GED655399 GNZ655399 GXV655399 HHR655399 HRN655399 IBJ655399 ILF655399 IVB655399 JEX655399 JOT655399 JYP655399 KIL655399 KSH655399 LCD655399 LLZ655399 LVV655399 MFR655399 MPN655399 MZJ655399 NJF655399 NTB655399 OCX655399 OMT655399 OWP655399 PGL655399 PQH655399 QAD655399 QJZ655399 QTV655399 RDR655399 RNN655399 RXJ655399 SHF655399 SRB655399 TAX655399 TKT655399 TUP655399 UEL655399 UOH655399 UYD655399 VHZ655399 VRV655399 WBR655399 WLN655399 WVJ655399 B720870 IX720935 ST720935 ACP720935 AML720935 AWH720935 BGD720935 BPZ720935 BZV720935 CJR720935 CTN720935 DDJ720935 DNF720935 DXB720935 EGX720935 EQT720935 FAP720935 FKL720935 FUH720935 GED720935 GNZ720935 GXV720935 HHR720935 HRN720935 IBJ720935 ILF720935 IVB720935 JEX720935 JOT720935 JYP720935 KIL720935 KSH720935 LCD720935 LLZ720935 LVV720935 MFR720935 MPN720935 MZJ720935 NJF720935 NTB720935 OCX720935 OMT720935 OWP720935 PGL720935 PQH720935 QAD720935 QJZ720935 QTV720935 RDR720935 RNN720935 RXJ720935 SHF720935 SRB720935 TAX720935 TKT720935 TUP720935 UEL720935 UOH720935 UYD720935 VHZ720935 VRV720935 WBR720935 WLN720935 WVJ720935 B786406 IX786471 ST786471 ACP786471 AML786471 AWH786471 BGD786471 BPZ786471 BZV786471 CJR786471 CTN786471 DDJ786471 DNF786471 DXB786471 EGX786471 EQT786471 FAP786471 FKL786471 FUH786471 GED786471 GNZ786471 GXV786471 HHR786471 HRN786471 IBJ786471 ILF786471 IVB786471 JEX786471 JOT786471 JYP786471 KIL786471 KSH786471 LCD786471 LLZ786471 LVV786471 MFR786471 MPN786471 MZJ786471 NJF786471 NTB786471 OCX786471 OMT786471 OWP786471 PGL786471 PQH786471 QAD786471 QJZ786471 QTV786471 RDR786471 RNN786471 RXJ786471 SHF786471 SRB786471 TAX786471 TKT786471 TUP786471 UEL786471 UOH786471 UYD786471 VHZ786471 VRV786471 WBR786471 WLN786471 WVJ786471 B851942 IX852007 ST852007 ACP852007 AML852007 AWH852007 BGD852007 BPZ852007 BZV852007 CJR852007 CTN852007 DDJ852007 DNF852007 DXB852007 EGX852007 EQT852007 FAP852007 FKL852007 FUH852007 GED852007 GNZ852007 GXV852007 HHR852007 HRN852007 IBJ852007 ILF852007 IVB852007 JEX852007 JOT852007 JYP852007 KIL852007 KSH852007 LCD852007 LLZ852007 LVV852007 MFR852007 MPN852007 MZJ852007 NJF852007 NTB852007 OCX852007 OMT852007 OWP852007 PGL852007 PQH852007 QAD852007 QJZ852007 QTV852007 RDR852007 RNN852007 RXJ852007 SHF852007 SRB852007 TAX852007 TKT852007 TUP852007 UEL852007 UOH852007 UYD852007 VHZ852007 VRV852007 WBR852007 WLN852007 WVJ852007 B917478 IX917543 ST917543 ACP917543 AML917543 AWH917543 BGD917543 BPZ917543 BZV917543 CJR917543 CTN917543 DDJ917543 DNF917543 DXB917543 EGX917543 EQT917543 FAP917543 FKL917543 FUH917543 GED917543 GNZ917543 GXV917543 HHR917543 HRN917543 IBJ917543 ILF917543 IVB917543 JEX917543 JOT917543 JYP917543 KIL917543 KSH917543 LCD917543 LLZ917543 LVV917543 MFR917543 MPN917543 MZJ917543 NJF917543 NTB917543 OCX917543 OMT917543 OWP917543 PGL917543 PQH917543 QAD917543 QJZ917543 QTV917543 RDR917543 RNN917543 RXJ917543 SHF917543 SRB917543 TAX917543 TKT917543 TUP917543 UEL917543 UOH917543 UYD917543 VHZ917543 VRV917543 WBR917543 WLN917543 WVJ917543 B983014 IX983079 ST983079 ACP983079 AML983079 AWH983079 BGD983079 BPZ983079 BZV983079 CJR983079 CTN983079 DDJ983079 DNF983079 DXB983079 EGX983079 EQT983079 FAP983079 FKL983079 FUH983079 GED983079 GNZ983079 GXV983079 HHR983079 HRN983079 IBJ983079 ILF983079 IVB983079 JEX983079 JOT983079 JYP983079 KIL983079 KSH983079 LCD983079 LLZ983079 LVV983079 MFR983079 MPN983079 MZJ983079 NJF983079 NTB983079 OCX983079 OMT983079 OWP983079 PGL983079 PQH983079 QAD983079 QJZ983079 QTV983079 RDR983079 RNN983079 RXJ983079 SHF983079 SRB983079 TAX983079 TKT983079 TUP983079 UEL983079 UOH983079 UYD983079 VHZ983079 VRV983079 WBR983079 WLN983079 WVJ983079 B45 IX45 ST45 ACP45 AML45 AWH45 BGD45 BPZ45 BZV45 CJR45 CTN45 DDJ45 DNF45 DXB45 EGX45 EQT45 FAP45 FKL45 FUH45 GED45 GNZ45 GXV45 HHR45 HRN45 IBJ45 ILF45 IVB45 JEX45 JOT45 JYP45 KIL45 KSH45 LCD45 LLZ45 LVV45 MFR45 MPN45 MZJ45 NJF45 NTB45 OCX45 OMT45 OWP45 PGL45 PQH45 QAD45 QJZ45 QTV45 RDR45 RNN45 RXJ45 SHF45 SRB45 TAX45 TKT45 TUP45 UEL45 UOH45 UYD45 VHZ45 VRV45 WBR45 WLN45 WVJ45 B65516 IX65581 ST65581 ACP65581 AML65581 AWH65581 BGD65581 BPZ65581 BZV65581 CJR65581 CTN65581 DDJ65581 DNF65581 DXB65581 EGX65581 EQT65581 FAP65581 FKL65581 FUH65581 GED65581 GNZ65581 GXV65581 HHR65581 HRN65581 IBJ65581 ILF65581 IVB65581 JEX65581 JOT65581 JYP65581 KIL65581 KSH65581 LCD65581 LLZ65581 LVV65581 MFR65581 MPN65581 MZJ65581 NJF65581 NTB65581 OCX65581 OMT65581 OWP65581 PGL65581 PQH65581 QAD65581 QJZ65581 QTV65581 RDR65581 RNN65581 RXJ65581 SHF65581 SRB65581 TAX65581 TKT65581 TUP65581 UEL65581 UOH65581 UYD65581 VHZ65581 VRV65581 WBR65581 WLN65581 WVJ65581 B131052 IX131117 ST131117 ACP131117 AML131117 AWH131117 BGD131117 BPZ131117 BZV131117 CJR131117 CTN131117 DDJ131117 DNF131117 DXB131117 EGX131117 EQT131117 FAP131117 FKL131117 FUH131117 GED131117 GNZ131117 GXV131117 HHR131117 HRN131117 IBJ131117 ILF131117 IVB131117 JEX131117 JOT131117 JYP131117 KIL131117 KSH131117 LCD131117 LLZ131117 LVV131117 MFR131117 MPN131117 MZJ131117 NJF131117 NTB131117 OCX131117 OMT131117 OWP131117 PGL131117 PQH131117 QAD131117 QJZ131117 QTV131117 RDR131117 RNN131117 RXJ131117 SHF131117 SRB131117 TAX131117 TKT131117 TUP131117 UEL131117 UOH131117 UYD131117 VHZ131117 VRV131117 WBR131117 WLN131117 WVJ131117 B196588 IX196653 ST196653 ACP196653 AML196653 AWH196653 BGD196653 BPZ196653 BZV196653 CJR196653 CTN196653 DDJ196653 DNF196653 DXB196653 EGX196653 EQT196653 FAP196653 FKL196653 FUH196653 GED196653 GNZ196653 GXV196653 HHR196653 HRN196653 IBJ196653 ILF196653 IVB196653 JEX196653 JOT196653 JYP196653 KIL196653 KSH196653 LCD196653 LLZ196653 LVV196653 MFR196653 MPN196653 MZJ196653 NJF196653 NTB196653 OCX196653 OMT196653 OWP196653 PGL196653 PQH196653 QAD196653 QJZ196653 QTV196653 RDR196653 RNN196653 RXJ196653 SHF196653 SRB196653 TAX196653 TKT196653 TUP196653 UEL196653 UOH196653 UYD196653 VHZ196653 VRV196653 WBR196653 WLN196653 WVJ196653 B262124 IX262189 ST262189 ACP262189 AML262189 AWH262189 BGD262189 BPZ262189 BZV262189 CJR262189 CTN262189 DDJ262189 DNF262189 DXB262189 EGX262189 EQT262189 FAP262189 FKL262189 FUH262189 GED262189 GNZ262189 GXV262189 HHR262189 HRN262189 IBJ262189 ILF262189 IVB262189 JEX262189 JOT262189 JYP262189 KIL262189 KSH262189 LCD262189 LLZ262189 LVV262189 MFR262189 MPN262189 MZJ262189 NJF262189 NTB262189 OCX262189 OMT262189 OWP262189 PGL262189 PQH262189 QAD262189 QJZ262189 QTV262189 RDR262189 RNN262189 RXJ262189 SHF262189 SRB262189 TAX262189 TKT262189 TUP262189 UEL262189 UOH262189 UYD262189 VHZ262189 VRV262189 WBR262189 WLN262189 WVJ262189 B327660 IX327725 ST327725 ACP327725 AML327725 AWH327725 BGD327725 BPZ327725 BZV327725 CJR327725 CTN327725 DDJ327725 DNF327725 DXB327725 EGX327725 EQT327725 FAP327725 FKL327725 FUH327725 GED327725 GNZ327725 GXV327725 HHR327725 HRN327725 IBJ327725 ILF327725 IVB327725 JEX327725 JOT327725 JYP327725 KIL327725 KSH327725 LCD327725 LLZ327725 LVV327725 MFR327725 MPN327725 MZJ327725 NJF327725 NTB327725 OCX327725 OMT327725 OWP327725 PGL327725 PQH327725 QAD327725 QJZ327725 QTV327725 RDR327725 RNN327725 RXJ327725 SHF327725 SRB327725 TAX327725 TKT327725 TUP327725 UEL327725 UOH327725 UYD327725 VHZ327725 VRV327725 WBR327725 WLN327725 WVJ327725 B393196 IX393261 ST393261 ACP393261 AML393261 AWH393261 BGD393261 BPZ393261 BZV393261 CJR393261 CTN393261 DDJ393261 DNF393261 DXB393261 EGX393261 EQT393261 FAP393261 FKL393261 FUH393261 GED393261 GNZ393261 GXV393261 HHR393261 HRN393261 IBJ393261 ILF393261 IVB393261 JEX393261 JOT393261 JYP393261 KIL393261 KSH393261 LCD393261 LLZ393261 LVV393261 MFR393261 MPN393261 MZJ393261 NJF393261 NTB393261 OCX393261 OMT393261 OWP393261 PGL393261 PQH393261 QAD393261 QJZ393261 QTV393261 RDR393261 RNN393261 RXJ393261 SHF393261 SRB393261 TAX393261 TKT393261 TUP393261 UEL393261 UOH393261 UYD393261 VHZ393261 VRV393261 WBR393261 WLN393261 WVJ393261 B458732 IX458797 ST458797 ACP458797 AML458797 AWH458797 BGD458797 BPZ458797 BZV458797 CJR458797 CTN458797 DDJ458797 DNF458797 DXB458797 EGX458797 EQT458797 FAP458797 FKL458797 FUH458797 GED458797 GNZ458797 GXV458797 HHR458797 HRN458797 IBJ458797 ILF458797 IVB458797 JEX458797 JOT458797 JYP458797 KIL458797 KSH458797 LCD458797 LLZ458797 LVV458797 MFR458797 MPN458797 MZJ458797 NJF458797 NTB458797 OCX458797 OMT458797 OWP458797 PGL458797 PQH458797 QAD458797 QJZ458797 QTV458797 RDR458797 RNN458797 RXJ458797 SHF458797 SRB458797 TAX458797 TKT458797 TUP458797 UEL458797 UOH458797 UYD458797 VHZ458797 VRV458797 WBR458797 WLN458797 WVJ458797 B524268 IX524333 ST524333 ACP524333 AML524333 AWH524333 BGD524333 BPZ524333 BZV524333 CJR524333 CTN524333 DDJ524333 DNF524333 DXB524333 EGX524333 EQT524333 FAP524333 FKL524333 FUH524333 GED524333 GNZ524333 GXV524333 HHR524333 HRN524333 IBJ524333 ILF524333 IVB524333 JEX524333 JOT524333 JYP524333 KIL524333 KSH524333 LCD524333 LLZ524333 LVV524333 MFR524333 MPN524333 MZJ524333 NJF524333 NTB524333 OCX524333 OMT524333 OWP524333 PGL524333 PQH524333 QAD524333 QJZ524333 QTV524333 RDR524333 RNN524333 RXJ524333 SHF524333 SRB524333 TAX524333 TKT524333 TUP524333 UEL524333 UOH524333 UYD524333 VHZ524333 VRV524333 WBR524333 WLN524333 WVJ524333 B589804 IX589869 ST589869 ACP589869 AML589869 AWH589869 BGD589869 BPZ589869 BZV589869 CJR589869 CTN589869 DDJ589869 DNF589869 DXB589869 EGX589869 EQT589869 FAP589869 FKL589869 FUH589869 GED589869 GNZ589869 GXV589869 HHR589869 HRN589869 IBJ589869 ILF589869 IVB589869 JEX589869 JOT589869 JYP589869 KIL589869 KSH589869 LCD589869 LLZ589869 LVV589869 MFR589869 MPN589869 MZJ589869 NJF589869 NTB589869 OCX589869 OMT589869 OWP589869 PGL589869 PQH589869 QAD589869 QJZ589869 QTV589869 RDR589869 RNN589869 RXJ589869 SHF589869 SRB589869 TAX589869 TKT589869 TUP589869 UEL589869 UOH589869 UYD589869 VHZ589869 VRV589869 WBR589869 WLN589869 WVJ589869 B655340 IX655405 ST655405 ACP655405 AML655405 AWH655405 BGD655405 BPZ655405 BZV655405 CJR655405 CTN655405 DDJ655405 DNF655405 DXB655405 EGX655405 EQT655405 FAP655405 FKL655405 FUH655405 GED655405 GNZ655405 GXV655405 HHR655405 HRN655405 IBJ655405 ILF655405 IVB655405 JEX655405 JOT655405 JYP655405 KIL655405 KSH655405 LCD655405 LLZ655405 LVV655405 MFR655405 MPN655405 MZJ655405 NJF655405 NTB655405 OCX655405 OMT655405 OWP655405 PGL655405 PQH655405 QAD655405 QJZ655405 QTV655405 RDR655405 RNN655405 RXJ655405 SHF655405 SRB655405 TAX655405 TKT655405 TUP655405 UEL655405 UOH655405 UYD655405 VHZ655405 VRV655405 WBR655405 WLN655405 WVJ655405 B720876 IX720941 ST720941 ACP720941 AML720941 AWH720941 BGD720941 BPZ720941 BZV720941 CJR720941 CTN720941 DDJ720941 DNF720941 DXB720941 EGX720941 EQT720941 FAP720941 FKL720941 FUH720941 GED720941 GNZ720941 GXV720941 HHR720941 HRN720941 IBJ720941 ILF720941 IVB720941 JEX720941 JOT720941 JYP720941 KIL720941 KSH720941 LCD720941 LLZ720941 LVV720941 MFR720941 MPN720941 MZJ720941 NJF720941 NTB720941 OCX720941 OMT720941 OWP720941 PGL720941 PQH720941 QAD720941 QJZ720941 QTV720941 RDR720941 RNN720941 RXJ720941 SHF720941 SRB720941 TAX720941 TKT720941 TUP720941 UEL720941 UOH720941 UYD720941 VHZ720941 VRV720941 WBR720941 WLN720941 WVJ720941 B786412 IX786477 ST786477 ACP786477 AML786477 AWH786477 BGD786477 BPZ786477 BZV786477 CJR786477 CTN786477 DDJ786477 DNF786477 DXB786477 EGX786477 EQT786477 FAP786477 FKL786477 FUH786477 GED786477 GNZ786477 GXV786477 HHR786477 HRN786477 IBJ786477 ILF786477 IVB786477 JEX786477 JOT786477 JYP786477 KIL786477 KSH786477 LCD786477 LLZ786477 LVV786477 MFR786477 MPN786477 MZJ786477 NJF786477 NTB786477 OCX786477 OMT786477 OWP786477 PGL786477 PQH786477 QAD786477 QJZ786477 QTV786477 RDR786477 RNN786477 RXJ786477 SHF786477 SRB786477 TAX786477 TKT786477 TUP786477 UEL786477 UOH786477 UYD786477 VHZ786477 VRV786477 WBR786477 WLN786477 WVJ786477 B851948 IX852013 ST852013 ACP852013 AML852013 AWH852013 BGD852013 BPZ852013 BZV852013 CJR852013 CTN852013 DDJ852013 DNF852013 DXB852013 EGX852013 EQT852013 FAP852013 FKL852013 FUH852013 GED852013 GNZ852013 GXV852013 HHR852013 HRN852013 IBJ852013 ILF852013 IVB852013 JEX852013 JOT852013 JYP852013 KIL852013 KSH852013 LCD852013 LLZ852013 LVV852013 MFR852013 MPN852013 MZJ852013 NJF852013 NTB852013 OCX852013 OMT852013 OWP852013 PGL852013 PQH852013 QAD852013 QJZ852013 QTV852013 RDR852013 RNN852013 RXJ852013 SHF852013 SRB852013 TAX852013 TKT852013 TUP852013 UEL852013 UOH852013 UYD852013 VHZ852013 VRV852013 WBR852013 WLN852013 WVJ852013 B917484 IX917549 ST917549 ACP917549 AML917549 AWH917549 BGD917549 BPZ917549 BZV917549 CJR917549 CTN917549 DDJ917549 DNF917549 DXB917549 EGX917549 EQT917549 FAP917549 FKL917549 FUH917549 GED917549 GNZ917549 GXV917549 HHR917549 HRN917549 IBJ917549 ILF917549 IVB917549 JEX917549 JOT917549 JYP917549 KIL917549 KSH917549 LCD917549 LLZ917549 LVV917549 MFR917549 MPN917549 MZJ917549 NJF917549 NTB917549 OCX917549 OMT917549 OWP917549 PGL917549 PQH917549 QAD917549 QJZ917549 QTV917549 RDR917549 RNN917549 RXJ917549 SHF917549 SRB917549 TAX917549 TKT917549 TUP917549 UEL917549 UOH917549 UYD917549 VHZ917549 VRV917549 WBR917549 WLN917549 WVJ917549 B983020 IX983085 ST983085 ACP983085 AML983085 AWH983085 BGD983085 BPZ983085 BZV983085 CJR983085 CTN983085 DDJ983085 DNF983085 DXB983085 EGX983085 EQT983085 FAP983085 FKL983085 FUH983085 GED983085 GNZ983085 GXV983085 HHR983085 HRN983085 IBJ983085 ILF983085 IVB983085 JEX983085 JOT983085 JYP983085 KIL983085 KSH983085 LCD983085 LLZ983085 LVV983085 MFR983085 MPN983085 MZJ983085 NJF983085 NTB983085 OCX983085 OMT983085 OWP983085 PGL983085 PQH983085 QAD983085 QJZ983085 QTV983085 RDR983085 RNN983085 RXJ983085 SHF983085 SRB983085 TAX983085 TKT983085 TUP983085 UEL983085 UOH983085 UYD983085 VHZ983085 VRV983085 WBR983085 WLN983085 WVJ983085" xr:uid="{62AC7134-8BA2-4553-9646-C4ED4F8BF306}">
      <formula1>$AI$2:$AI$54</formula1>
    </dataValidation>
    <dataValidation type="list" allowBlank="1" showInputMessage="1" showErrorMessage="1" sqref="WVJ98304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478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14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550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086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22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158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694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30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766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02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838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374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10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446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2982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xr:uid="{A69BAB58-7B90-4F5A-AD25-28CDE3735717}">
      <formula1>$K$2:$K$126</formula1>
    </dataValidation>
    <dataValidation type="list" allowBlank="1" showInputMessage="1" showErrorMessage="1" sqref="B7" xr:uid="{75CF6663-37B5-40DB-B635-94FEADF447E9}">
      <formula1>$K$2:$K$187</formula1>
    </dataValidation>
    <dataValidation type="list" allowBlank="1" showInputMessage="1" showErrorMessage="1" sqref="B26" xr:uid="{24C55AC2-B850-480C-93D4-0855D664DCBF}">
      <formula1>$T$2:$T$137</formula1>
    </dataValidation>
  </dataValidations>
  <printOptions horizontalCentered="1"/>
  <pageMargins left="0.39370078740157483" right="0.39370078740157483" top="0.78740157480314965" bottom="0.78740157480314965" header="0.39370078740157483" footer="0.39370078740157483"/>
  <pageSetup paperSize="9" scale="55" fitToHeight="5" orientation="portrait" horizontalDpi="1200" verticalDpi="1200" r:id="rId1"/>
  <headerFooter alignWithMargins="0">
    <oddHeader>&amp;C&amp;"標楷體,標準"&amp;16智崴資訊側立式電動平台-電動缸計算</oddHeader>
  </headerFooter>
  <drawing r:id="rId2"/>
  <legacyDrawing r:id="rId3"/>
  <oleObjects>
    <mc:AlternateContent xmlns:mc="http://schemas.openxmlformats.org/markup-compatibility/2006">
      <mc:Choice Requires="x14">
        <oleObject progId="Equation.3" shapeId="2049" r:id="rId4">
          <objectPr defaultSize="0" autoPict="0" r:id="rId5">
            <anchor moveWithCells="1" sizeWithCells="1">
              <from>
                <xdr:col>0</xdr:col>
                <xdr:colOff>259080</xdr:colOff>
                <xdr:row>143</xdr:row>
                <xdr:rowOff>0</xdr:rowOff>
              </from>
              <to>
                <xdr:col>0</xdr:col>
                <xdr:colOff>693420</xdr:colOff>
                <xdr:row>143</xdr:row>
                <xdr:rowOff>0</xdr:rowOff>
              </to>
            </anchor>
          </objectPr>
        </oleObject>
      </mc:Choice>
      <mc:Fallback>
        <oleObject progId="Equation.3" shapeId="2049" r:id="rId4"/>
      </mc:Fallback>
    </mc:AlternateContent>
    <mc:AlternateContent xmlns:mc="http://schemas.openxmlformats.org/markup-compatibility/2006">
      <mc:Choice Requires="x14">
        <oleObject progId="Equation.3" shapeId="2050" r:id="rId6">
          <objectPr defaultSize="0" autoPict="0" r:id="rId7">
            <anchor moveWithCells="1" sizeWithCells="1">
              <from>
                <xdr:col>0</xdr:col>
                <xdr:colOff>60960</xdr:colOff>
                <xdr:row>130</xdr:row>
                <xdr:rowOff>114300</xdr:rowOff>
              </from>
              <to>
                <xdr:col>1</xdr:col>
                <xdr:colOff>510540</xdr:colOff>
                <xdr:row>131</xdr:row>
                <xdr:rowOff>106680</xdr:rowOff>
              </to>
            </anchor>
          </objectPr>
        </oleObject>
      </mc:Choice>
      <mc:Fallback>
        <oleObject progId="Equation.3" shapeId="2050" r:id="rId6"/>
      </mc:Fallback>
    </mc:AlternateContent>
    <mc:AlternateContent xmlns:mc="http://schemas.openxmlformats.org/markup-compatibility/2006">
      <mc:Choice Requires="x14">
        <oleObject progId="Equation.3" shapeId="2051" r:id="rId8">
          <objectPr defaultSize="0" autoPict="0" r:id="rId9">
            <anchor moveWithCells="1" sizeWithCells="1">
              <from>
                <xdr:col>0</xdr:col>
                <xdr:colOff>60960</xdr:colOff>
                <xdr:row>134</xdr:row>
                <xdr:rowOff>15240</xdr:rowOff>
              </from>
              <to>
                <xdr:col>1</xdr:col>
                <xdr:colOff>266700</xdr:colOff>
                <xdr:row>136</xdr:row>
                <xdr:rowOff>68580</xdr:rowOff>
              </to>
            </anchor>
          </objectPr>
        </oleObject>
      </mc:Choice>
      <mc:Fallback>
        <oleObject progId="Equation.3" shapeId="2051" r:id="rId8"/>
      </mc:Fallback>
    </mc:AlternateContent>
    <mc:AlternateContent xmlns:mc="http://schemas.openxmlformats.org/markup-compatibility/2006">
      <mc:Choice Requires="x14">
        <oleObject progId="Equation.3" shapeId="2052" r:id="rId10">
          <objectPr defaultSize="0" autoPict="0" r:id="rId11">
            <anchor moveWithCells="1" sizeWithCells="1">
              <from>
                <xdr:col>0</xdr:col>
                <xdr:colOff>22860</xdr:colOff>
                <xdr:row>146</xdr:row>
                <xdr:rowOff>15240</xdr:rowOff>
              </from>
              <to>
                <xdr:col>0</xdr:col>
                <xdr:colOff>594360</xdr:colOff>
                <xdr:row>148</xdr:row>
                <xdr:rowOff>7620</xdr:rowOff>
              </to>
            </anchor>
          </objectPr>
        </oleObject>
      </mc:Choice>
      <mc:Fallback>
        <oleObject progId="Equation.3" shapeId="2052" r:id="rId10"/>
      </mc:Fallback>
    </mc:AlternateContent>
    <mc:AlternateContent xmlns:mc="http://schemas.openxmlformats.org/markup-compatibility/2006">
      <mc:Choice Requires="x14">
        <oleObject progId="Equation.3" shapeId="2059" r:id="rId12">
          <objectPr defaultSize="0" autoPict="0" r:id="rId13">
            <anchor moveWithCells="1" sizeWithCells="1">
              <from>
                <xdr:col>0</xdr:col>
                <xdr:colOff>38100</xdr:colOff>
                <xdr:row>149</xdr:row>
                <xdr:rowOff>0</xdr:rowOff>
              </from>
              <to>
                <xdr:col>0</xdr:col>
                <xdr:colOff>678180</xdr:colOff>
                <xdr:row>149</xdr:row>
                <xdr:rowOff>15240</xdr:rowOff>
              </to>
            </anchor>
          </objectPr>
        </oleObject>
      </mc:Choice>
      <mc:Fallback>
        <oleObject progId="Equation.3" shapeId="2059" r:id="rId12"/>
      </mc:Fallback>
    </mc:AlternateContent>
    <mc:AlternateContent xmlns:mc="http://schemas.openxmlformats.org/markup-compatibility/2006">
      <mc:Choice Requires="x14">
        <oleObject progId="Equation.3" shapeId="2061" r:id="rId14">
          <objectPr defaultSize="0" autoPict="0" r:id="rId15">
            <anchor moveWithCells="1" sizeWithCells="1">
              <from>
                <xdr:col>0</xdr:col>
                <xdr:colOff>53340</xdr:colOff>
                <xdr:row>89</xdr:row>
                <xdr:rowOff>15240</xdr:rowOff>
              </from>
              <to>
                <xdr:col>0</xdr:col>
                <xdr:colOff>944880</xdr:colOff>
                <xdr:row>91</xdr:row>
                <xdr:rowOff>0</xdr:rowOff>
              </to>
            </anchor>
          </objectPr>
        </oleObject>
      </mc:Choice>
      <mc:Fallback>
        <oleObject progId="Equation.3" shapeId="2061" r:id="rId14"/>
      </mc:Fallback>
    </mc:AlternateContent>
    <mc:AlternateContent xmlns:mc="http://schemas.openxmlformats.org/markup-compatibility/2006">
      <mc:Choice Requires="x14">
        <oleObject progId="Equation.3" shapeId="2062" r:id="rId16">
          <objectPr defaultSize="0" autoPict="0" r:id="rId17">
            <anchor moveWithCells="1" sizeWithCells="1">
              <from>
                <xdr:col>0</xdr:col>
                <xdr:colOff>38100</xdr:colOff>
                <xdr:row>84</xdr:row>
                <xdr:rowOff>22860</xdr:rowOff>
              </from>
              <to>
                <xdr:col>0</xdr:col>
                <xdr:colOff>434340</xdr:colOff>
                <xdr:row>86</xdr:row>
                <xdr:rowOff>0</xdr:rowOff>
              </to>
            </anchor>
          </objectPr>
        </oleObject>
      </mc:Choice>
      <mc:Fallback>
        <oleObject progId="Equation.3" shapeId="2062" r:id="rId16"/>
      </mc:Fallback>
    </mc:AlternateContent>
    <mc:AlternateContent xmlns:mc="http://schemas.openxmlformats.org/markup-compatibility/2006">
      <mc:Choice Requires="x14">
        <oleObject progId="Equation.3" shapeId="2063" r:id="rId18">
          <objectPr defaultSize="0" autoPict="0" r:id="rId19">
            <anchor moveWithCells="1" sizeWithCells="1">
              <from>
                <xdr:col>0</xdr:col>
                <xdr:colOff>38100</xdr:colOff>
                <xdr:row>104</xdr:row>
                <xdr:rowOff>7620</xdr:rowOff>
              </from>
              <to>
                <xdr:col>0</xdr:col>
                <xdr:colOff>746760</xdr:colOff>
                <xdr:row>105</xdr:row>
                <xdr:rowOff>144780</xdr:rowOff>
              </to>
            </anchor>
          </objectPr>
        </oleObject>
      </mc:Choice>
      <mc:Fallback>
        <oleObject progId="Equation.3" shapeId="2063" r:id="rId18"/>
      </mc:Fallback>
    </mc:AlternateContent>
    <mc:AlternateContent xmlns:mc="http://schemas.openxmlformats.org/markup-compatibility/2006">
      <mc:Choice Requires="x14">
        <oleObject progId="Equation.3" shapeId="2064" r:id="rId20">
          <objectPr defaultSize="0" autoPict="0" r:id="rId21">
            <anchor moveWithCells="1" sizeWithCells="1">
              <from>
                <xdr:col>0</xdr:col>
                <xdr:colOff>22860</xdr:colOff>
                <xdr:row>102</xdr:row>
                <xdr:rowOff>15240</xdr:rowOff>
              </from>
              <to>
                <xdr:col>0</xdr:col>
                <xdr:colOff>655320</xdr:colOff>
                <xdr:row>103</xdr:row>
                <xdr:rowOff>160020</xdr:rowOff>
              </to>
            </anchor>
          </objectPr>
        </oleObject>
      </mc:Choice>
      <mc:Fallback>
        <oleObject progId="Equation.3" shapeId="2064" r:id="rId20"/>
      </mc:Fallback>
    </mc:AlternateContent>
    <mc:AlternateContent xmlns:mc="http://schemas.openxmlformats.org/markup-compatibility/2006">
      <mc:Choice Requires="x14">
        <oleObject progId="Equation.3" shapeId="2065" r:id="rId22">
          <objectPr defaultSize="0" autoPict="0" r:id="rId23">
            <anchor moveWithCells="1" sizeWithCells="1">
              <from>
                <xdr:col>3</xdr:col>
                <xdr:colOff>22860</xdr:colOff>
                <xdr:row>120</xdr:row>
                <xdr:rowOff>15240</xdr:rowOff>
              </from>
              <to>
                <xdr:col>4</xdr:col>
                <xdr:colOff>281940</xdr:colOff>
                <xdr:row>122</xdr:row>
                <xdr:rowOff>30480</xdr:rowOff>
              </to>
            </anchor>
          </objectPr>
        </oleObject>
      </mc:Choice>
      <mc:Fallback>
        <oleObject progId="Equation.3" shapeId="2065" r:id="rId22"/>
      </mc:Fallback>
    </mc:AlternateContent>
    <mc:AlternateContent xmlns:mc="http://schemas.openxmlformats.org/markup-compatibility/2006">
      <mc:Choice Requires="x14">
        <oleObject progId="Equation.3" shapeId="2066" r:id="rId24">
          <objectPr defaultSize="0" autoPict="0" r:id="rId25">
            <anchor moveWithCells="1" sizeWithCells="1">
              <from>
                <xdr:col>0</xdr:col>
                <xdr:colOff>22860</xdr:colOff>
                <xdr:row>58</xdr:row>
                <xdr:rowOff>15240</xdr:rowOff>
              </from>
              <to>
                <xdr:col>1</xdr:col>
                <xdr:colOff>327660</xdr:colOff>
                <xdr:row>60</xdr:row>
                <xdr:rowOff>15240</xdr:rowOff>
              </to>
            </anchor>
          </objectPr>
        </oleObject>
      </mc:Choice>
      <mc:Fallback>
        <oleObject progId="Equation.3" shapeId="2066" r:id="rId24"/>
      </mc:Fallback>
    </mc:AlternateContent>
    <mc:AlternateContent xmlns:mc="http://schemas.openxmlformats.org/markup-compatibility/2006">
      <mc:Choice Requires="x14">
        <oleObject progId="Equation.3" shapeId="2067" r:id="rId26">
          <objectPr defaultSize="0" autoPict="0" r:id="rId27">
            <anchor moveWithCells="1" sizeWithCells="1">
              <from>
                <xdr:col>0</xdr:col>
                <xdr:colOff>7620</xdr:colOff>
                <xdr:row>116</xdr:row>
                <xdr:rowOff>15240</xdr:rowOff>
              </from>
              <to>
                <xdr:col>1</xdr:col>
                <xdr:colOff>0</xdr:colOff>
                <xdr:row>117</xdr:row>
                <xdr:rowOff>144780</xdr:rowOff>
              </to>
            </anchor>
          </objectPr>
        </oleObject>
      </mc:Choice>
      <mc:Fallback>
        <oleObject progId="Equation.3" shapeId="2067" r:id="rId26"/>
      </mc:Fallback>
    </mc:AlternateContent>
    <mc:AlternateContent xmlns:mc="http://schemas.openxmlformats.org/markup-compatibility/2006">
      <mc:Choice Requires="x14">
        <oleObject progId="Equation.3" shapeId="2068" r:id="rId28">
          <objectPr defaultSize="0" autoPict="0" r:id="rId29">
            <anchor moveWithCells="1" sizeWithCells="1">
              <from>
                <xdr:col>0</xdr:col>
                <xdr:colOff>7620</xdr:colOff>
                <xdr:row>120</xdr:row>
                <xdr:rowOff>15240</xdr:rowOff>
              </from>
              <to>
                <xdr:col>1</xdr:col>
                <xdr:colOff>861060</xdr:colOff>
                <xdr:row>122</xdr:row>
                <xdr:rowOff>22860</xdr:rowOff>
              </to>
            </anchor>
          </objectPr>
        </oleObject>
      </mc:Choice>
      <mc:Fallback>
        <oleObject progId="Equation.3" shapeId="2068" r:id="rId28"/>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DA36-B55B-47E1-B644-4BDC8C8FBAC5}">
  <dimension ref="A1:G24"/>
  <sheetViews>
    <sheetView topLeftCell="A7" zoomScale="190" zoomScaleNormal="190" workbookViewId="0">
      <selection activeCell="D14" sqref="D14"/>
    </sheetView>
  </sheetViews>
  <sheetFormatPr defaultColWidth="8.77734375" defaultRowHeight="15" x14ac:dyDescent="0.25"/>
  <cols>
    <col min="1" max="1" width="27.21875" style="2" bestFit="1" customWidth="1"/>
    <col min="2" max="2" width="9.77734375" style="2" bestFit="1" customWidth="1"/>
    <col min="3" max="3" width="10.6640625" style="2" bestFit="1" customWidth="1"/>
    <col min="4" max="4" width="11.6640625" style="2" bestFit="1" customWidth="1"/>
    <col min="5" max="16384" width="8.77734375" style="2"/>
  </cols>
  <sheetData>
    <row r="1" spans="1:5" ht="18.600000000000001" x14ac:dyDescent="0.4">
      <c r="A1" s="1" t="s">
        <v>11</v>
      </c>
      <c r="B1" s="63">
        <f>+'o-Ride E_500'!B2</f>
        <v>500</v>
      </c>
      <c r="C1" s="2" t="s">
        <v>40</v>
      </c>
      <c r="D1" s="60">
        <f>+ROUND(B1*9.81,2)</f>
        <v>4905</v>
      </c>
      <c r="E1" s="2" t="s">
        <v>0</v>
      </c>
    </row>
    <row r="2" spans="1:5" ht="16.2" x14ac:dyDescent="0.3">
      <c r="A2" s="2" t="s">
        <v>7</v>
      </c>
      <c r="B2" s="6">
        <v>0.9</v>
      </c>
    </row>
    <row r="3" spans="1:5" ht="16.2" x14ac:dyDescent="0.3">
      <c r="A3" s="1" t="s">
        <v>273</v>
      </c>
      <c r="B3" s="2">
        <f>ROUND(B1/B2,2)</f>
        <v>555.55999999999995</v>
      </c>
      <c r="C3" s="2" t="s">
        <v>40</v>
      </c>
      <c r="D3" s="60">
        <f>+ROUND(B3*9.81,2)</f>
        <v>5450.04</v>
      </c>
      <c r="E3" s="2" t="s">
        <v>0</v>
      </c>
    </row>
    <row r="4" spans="1:5" ht="18.600000000000001" x14ac:dyDescent="0.4">
      <c r="A4" s="5" t="s">
        <v>12</v>
      </c>
      <c r="B4" s="60">
        <f>+'o-Ride E_500'!B9</f>
        <v>10</v>
      </c>
      <c r="C4" s="2" t="s">
        <v>19</v>
      </c>
      <c r="D4" s="2">
        <f>+B4/1000</f>
        <v>0.01</v>
      </c>
      <c r="E4" s="2" t="s">
        <v>4</v>
      </c>
    </row>
    <row r="5" spans="1:5" ht="18.600000000000001" x14ac:dyDescent="0.4">
      <c r="A5" s="2" t="s">
        <v>272</v>
      </c>
      <c r="B5" s="60">
        <f>+ROUND(B1*D4/(2*PI()*B2),2)</f>
        <v>0.88</v>
      </c>
      <c r="C5" s="2" t="s">
        <v>271</v>
      </c>
      <c r="D5" s="60">
        <f>+ROUND(D1*D4/(2*PI()*B2),2)</f>
        <v>8.67</v>
      </c>
      <c r="E5" s="2" t="s">
        <v>13</v>
      </c>
    </row>
    <row r="6" spans="1:5" x14ac:dyDescent="0.25">
      <c r="B6" s="60"/>
      <c r="D6" s="60"/>
    </row>
    <row r="7" spans="1:5" x14ac:dyDescent="0.25">
      <c r="B7" s="60"/>
      <c r="D7" s="60"/>
    </row>
    <row r="8" spans="1:5" ht="18.600000000000001" x14ac:dyDescent="0.4">
      <c r="A8" s="57" t="s">
        <v>8</v>
      </c>
      <c r="B8" s="6">
        <v>0.95</v>
      </c>
    </row>
    <row r="9" spans="1:5" s="3" customFormat="1" ht="18.600000000000001" x14ac:dyDescent="0.4">
      <c r="A9" s="3" t="s">
        <v>270</v>
      </c>
      <c r="B9" s="62">
        <f>+'o-Ride E_500'!B40</f>
        <v>32</v>
      </c>
    </row>
    <row r="10" spans="1:5" s="3" customFormat="1" ht="18.600000000000001" x14ac:dyDescent="0.4">
      <c r="A10" s="3" t="s">
        <v>269</v>
      </c>
      <c r="B10" s="62">
        <f>+'o-Ride E_500'!B46</f>
        <v>48</v>
      </c>
      <c r="D10" s="61"/>
    </row>
    <row r="11" spans="1:5" ht="16.2" x14ac:dyDescent="0.3">
      <c r="A11" s="5" t="s">
        <v>281</v>
      </c>
      <c r="B11" s="60">
        <f>+B10/B9</f>
        <v>1.5</v>
      </c>
    </row>
    <row r="12" spans="1:5" x14ac:dyDescent="0.25">
      <c r="B12" s="60"/>
    </row>
    <row r="13" spans="1:5" x14ac:dyDescent="0.25">
      <c r="B13" s="60"/>
    </row>
    <row r="14" spans="1:5" ht="18.600000000000001" x14ac:dyDescent="0.4">
      <c r="A14" s="2" t="s">
        <v>268</v>
      </c>
      <c r="B14" s="58">
        <f>+D5/(B11*B8)</f>
        <v>6.0842105263157906</v>
      </c>
      <c r="C14" s="2" t="s">
        <v>13</v>
      </c>
      <c r="D14" s="59">
        <f>+(D1*D4)/(2*PI()*B2*B11*B8)</f>
        <v>6.0869785252689805</v>
      </c>
      <c r="E14" s="2" t="s">
        <v>13</v>
      </c>
    </row>
    <row r="15" spans="1:5" x14ac:dyDescent="0.25">
      <c r="B15" s="58"/>
      <c r="D15" s="59"/>
    </row>
    <row r="17" spans="1:7" x14ac:dyDescent="0.25">
      <c r="E17" s="58"/>
    </row>
    <row r="19" spans="1:7" ht="16.2" x14ac:dyDescent="0.3">
      <c r="E19"/>
      <c r="G19"/>
    </row>
    <row r="24" spans="1:7" x14ac:dyDescent="0.25">
      <c r="A24" s="57"/>
    </row>
  </sheetData>
  <phoneticPr fontId="6" type="noConversion"/>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716A-E546-4C9A-8577-1A2999172A05}">
  <dimension ref="A1:H18"/>
  <sheetViews>
    <sheetView topLeftCell="A4" zoomScale="175" zoomScaleNormal="175" workbookViewId="0">
      <selection activeCell="B1" sqref="B1"/>
    </sheetView>
  </sheetViews>
  <sheetFormatPr defaultColWidth="8.77734375" defaultRowHeight="15" x14ac:dyDescent="0.25"/>
  <cols>
    <col min="1" max="1" width="28.109375" style="3" customWidth="1"/>
    <col min="2" max="2" width="13.44140625" style="3" bestFit="1" customWidth="1"/>
    <col min="3" max="3" width="8.77734375" style="3"/>
    <col min="4" max="4" width="10.44140625" style="3" bestFit="1" customWidth="1"/>
    <col min="5" max="5" width="13.44140625" style="3" bestFit="1" customWidth="1"/>
    <col min="6" max="6" width="9.77734375" style="3" bestFit="1" customWidth="1"/>
    <col min="7" max="7" width="11.6640625" style="3" bestFit="1" customWidth="1"/>
    <col min="8" max="16384" width="8.77734375" style="3"/>
  </cols>
  <sheetData>
    <row r="1" spans="1:8" ht="18.600000000000001" x14ac:dyDescent="0.4">
      <c r="A1" s="5" t="s">
        <v>278</v>
      </c>
      <c r="B1" s="59">
        <f>+'o-Ride E_500'!B29</f>
        <v>6.4</v>
      </c>
      <c r="C1" s="3" t="s">
        <v>1</v>
      </c>
    </row>
    <row r="2" spans="1:8" ht="18.600000000000001" x14ac:dyDescent="0.4">
      <c r="A2" s="3" t="s">
        <v>270</v>
      </c>
      <c r="B2" s="3">
        <f>+'o-Ride E_500'!B40</f>
        <v>32</v>
      </c>
    </row>
    <row r="3" spans="1:8" ht="18.600000000000001" x14ac:dyDescent="0.4">
      <c r="A3" s="3" t="s">
        <v>269</v>
      </c>
      <c r="B3" s="3">
        <f>+'o-Ride E_500'!B46</f>
        <v>48</v>
      </c>
    </row>
    <row r="4" spans="1:8" s="2" customFormat="1" ht="16.2" x14ac:dyDescent="0.3">
      <c r="A4" s="5" t="s">
        <v>281</v>
      </c>
      <c r="B4" s="60">
        <f>+B3/B2</f>
        <v>1.5</v>
      </c>
    </row>
    <row r="5" spans="1:8" s="2" customFormat="1" x14ac:dyDescent="0.25">
      <c r="B5" s="60"/>
    </row>
    <row r="6" spans="1:8" s="2" customFormat="1" x14ac:dyDescent="0.25">
      <c r="B6" s="60"/>
    </row>
    <row r="7" spans="1:8" ht="18.600000000000001" x14ac:dyDescent="0.4">
      <c r="A7" s="57" t="s">
        <v>276</v>
      </c>
      <c r="B7" s="65">
        <v>0.95</v>
      </c>
    </row>
    <row r="8" spans="1:8" s="2" customFormat="1" ht="18.600000000000001" x14ac:dyDescent="0.4">
      <c r="A8" s="5" t="s">
        <v>10</v>
      </c>
      <c r="B8" s="60">
        <f>+ROUND(B1*B4*B7,2)</f>
        <v>9.1199999999999992</v>
      </c>
      <c r="C8" s="2" t="s">
        <v>13</v>
      </c>
      <c r="D8" s="60"/>
    </row>
    <row r="9" spans="1:8" s="2" customFormat="1" x14ac:dyDescent="0.25">
      <c r="B9" s="60"/>
      <c r="D9" s="60"/>
    </row>
    <row r="10" spans="1:8" s="2" customFormat="1" x14ac:dyDescent="0.25">
      <c r="B10" s="60"/>
      <c r="D10" s="60"/>
    </row>
    <row r="11" spans="1:8" ht="18.600000000000001" x14ac:dyDescent="0.4">
      <c r="A11" s="3" t="s">
        <v>275</v>
      </c>
      <c r="B11" s="3">
        <f>'o-Ride E_500'!B9/1000</f>
        <v>0.01</v>
      </c>
      <c r="C11" s="3" t="s">
        <v>4</v>
      </c>
    </row>
    <row r="12" spans="1:8" s="2" customFormat="1" ht="16.2" x14ac:dyDescent="0.3">
      <c r="A12" s="1" t="s">
        <v>274</v>
      </c>
      <c r="B12" s="6">
        <v>0.9</v>
      </c>
    </row>
    <row r="13" spans="1:8" ht="18.600000000000001" x14ac:dyDescent="0.4">
      <c r="A13" s="1" t="s">
        <v>11</v>
      </c>
      <c r="B13" s="64">
        <f>ROUND(2*PI()*B12*B8/B11,2)</f>
        <v>5157.24</v>
      </c>
      <c r="C13" s="3" t="s">
        <v>0</v>
      </c>
      <c r="D13" s="3">
        <f>+ROUND(B13/9.81,2)</f>
        <v>525.71</v>
      </c>
      <c r="E13" s="64" t="s">
        <v>40</v>
      </c>
      <c r="G13" s="59">
        <f>ROUND(2*PI()*B12*B1*B4*B7/B11,2)</f>
        <v>5157.24</v>
      </c>
      <c r="H13" s="3" t="s">
        <v>0</v>
      </c>
    </row>
    <row r="18" spans="5:5" x14ac:dyDescent="0.25">
      <c r="E18" s="59"/>
    </row>
  </sheetData>
  <phoneticPr fontId="6"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D46B-2934-4243-A2FA-13A7DD8E2F80}">
  <dimension ref="A1:C12"/>
  <sheetViews>
    <sheetView zoomScale="190" zoomScaleNormal="190" workbookViewId="0">
      <selection activeCell="J12" sqref="J12"/>
    </sheetView>
  </sheetViews>
  <sheetFormatPr defaultRowHeight="16.2" x14ac:dyDescent="0.3"/>
  <cols>
    <col min="1" max="1" width="27.21875" bestFit="1" customWidth="1"/>
    <col min="2" max="2" width="6.44140625" bestFit="1" customWidth="1"/>
    <col min="257" max="257" width="27.21875" bestFit="1" customWidth="1"/>
    <col min="258" max="258" width="6.44140625" bestFit="1" customWidth="1"/>
    <col min="513" max="513" width="27.21875" bestFit="1" customWidth="1"/>
    <col min="514" max="514" width="6.44140625" bestFit="1" customWidth="1"/>
    <col min="769" max="769" width="27.21875" bestFit="1" customWidth="1"/>
    <col min="770" max="770" width="6.44140625" bestFit="1" customWidth="1"/>
    <col min="1025" max="1025" width="27.21875" bestFit="1" customWidth="1"/>
    <col min="1026" max="1026" width="6.44140625" bestFit="1" customWidth="1"/>
    <col min="1281" max="1281" width="27.21875" bestFit="1" customWidth="1"/>
    <col min="1282" max="1282" width="6.44140625" bestFit="1" customWidth="1"/>
    <col min="1537" max="1537" width="27.21875" bestFit="1" customWidth="1"/>
    <col min="1538" max="1538" width="6.44140625" bestFit="1" customWidth="1"/>
    <col min="1793" max="1793" width="27.21875" bestFit="1" customWidth="1"/>
    <col min="1794" max="1794" width="6.44140625" bestFit="1" customWidth="1"/>
    <col min="2049" max="2049" width="27.21875" bestFit="1" customWidth="1"/>
    <col min="2050" max="2050" width="6.44140625" bestFit="1" customWidth="1"/>
    <col min="2305" max="2305" width="27.21875" bestFit="1" customWidth="1"/>
    <col min="2306" max="2306" width="6.44140625" bestFit="1" customWidth="1"/>
    <col min="2561" max="2561" width="27.21875" bestFit="1" customWidth="1"/>
    <col min="2562" max="2562" width="6.44140625" bestFit="1" customWidth="1"/>
    <col min="2817" max="2817" width="27.21875" bestFit="1" customWidth="1"/>
    <col min="2818" max="2818" width="6.44140625" bestFit="1" customWidth="1"/>
    <col min="3073" max="3073" width="27.21875" bestFit="1" customWidth="1"/>
    <col min="3074" max="3074" width="6.44140625" bestFit="1" customWidth="1"/>
    <col min="3329" max="3329" width="27.21875" bestFit="1" customWidth="1"/>
    <col min="3330" max="3330" width="6.44140625" bestFit="1" customWidth="1"/>
    <col min="3585" max="3585" width="27.21875" bestFit="1" customWidth="1"/>
    <col min="3586" max="3586" width="6.44140625" bestFit="1" customWidth="1"/>
    <col min="3841" max="3841" width="27.21875" bestFit="1" customWidth="1"/>
    <col min="3842" max="3842" width="6.44140625" bestFit="1" customWidth="1"/>
    <col min="4097" max="4097" width="27.21875" bestFit="1" customWidth="1"/>
    <col min="4098" max="4098" width="6.44140625" bestFit="1" customWidth="1"/>
    <col min="4353" max="4353" width="27.21875" bestFit="1" customWidth="1"/>
    <col min="4354" max="4354" width="6.44140625" bestFit="1" customWidth="1"/>
    <col min="4609" max="4609" width="27.21875" bestFit="1" customWidth="1"/>
    <col min="4610" max="4610" width="6.44140625" bestFit="1" customWidth="1"/>
    <col min="4865" max="4865" width="27.21875" bestFit="1" customWidth="1"/>
    <col min="4866" max="4866" width="6.44140625" bestFit="1" customWidth="1"/>
    <col min="5121" max="5121" width="27.21875" bestFit="1" customWidth="1"/>
    <col min="5122" max="5122" width="6.44140625" bestFit="1" customWidth="1"/>
    <col min="5377" max="5377" width="27.21875" bestFit="1" customWidth="1"/>
    <col min="5378" max="5378" width="6.44140625" bestFit="1" customWidth="1"/>
    <col min="5633" max="5633" width="27.21875" bestFit="1" customWidth="1"/>
    <col min="5634" max="5634" width="6.44140625" bestFit="1" customWidth="1"/>
    <col min="5889" max="5889" width="27.21875" bestFit="1" customWidth="1"/>
    <col min="5890" max="5890" width="6.44140625" bestFit="1" customWidth="1"/>
    <col min="6145" max="6145" width="27.21875" bestFit="1" customWidth="1"/>
    <col min="6146" max="6146" width="6.44140625" bestFit="1" customWidth="1"/>
    <col min="6401" max="6401" width="27.21875" bestFit="1" customWidth="1"/>
    <col min="6402" max="6402" width="6.44140625" bestFit="1" customWidth="1"/>
    <col min="6657" max="6657" width="27.21875" bestFit="1" customWidth="1"/>
    <col min="6658" max="6658" width="6.44140625" bestFit="1" customWidth="1"/>
    <col min="6913" max="6913" width="27.21875" bestFit="1" customWidth="1"/>
    <col min="6914" max="6914" width="6.44140625" bestFit="1" customWidth="1"/>
    <col min="7169" max="7169" width="27.21875" bestFit="1" customWidth="1"/>
    <col min="7170" max="7170" width="6.44140625" bestFit="1" customWidth="1"/>
    <col min="7425" max="7425" width="27.21875" bestFit="1" customWidth="1"/>
    <col min="7426" max="7426" width="6.44140625" bestFit="1" customWidth="1"/>
    <col min="7681" max="7681" width="27.21875" bestFit="1" customWidth="1"/>
    <col min="7682" max="7682" width="6.44140625" bestFit="1" customWidth="1"/>
    <col min="7937" max="7937" width="27.21875" bestFit="1" customWidth="1"/>
    <col min="7938" max="7938" width="6.44140625" bestFit="1" customWidth="1"/>
    <col min="8193" max="8193" width="27.21875" bestFit="1" customWidth="1"/>
    <col min="8194" max="8194" width="6.44140625" bestFit="1" customWidth="1"/>
    <col min="8449" max="8449" width="27.21875" bestFit="1" customWidth="1"/>
    <col min="8450" max="8450" width="6.44140625" bestFit="1" customWidth="1"/>
    <col min="8705" max="8705" width="27.21875" bestFit="1" customWidth="1"/>
    <col min="8706" max="8706" width="6.44140625" bestFit="1" customWidth="1"/>
    <col min="8961" max="8961" width="27.21875" bestFit="1" customWidth="1"/>
    <col min="8962" max="8962" width="6.44140625" bestFit="1" customWidth="1"/>
    <col min="9217" max="9217" width="27.21875" bestFit="1" customWidth="1"/>
    <col min="9218" max="9218" width="6.44140625" bestFit="1" customWidth="1"/>
    <col min="9473" max="9473" width="27.21875" bestFit="1" customWidth="1"/>
    <col min="9474" max="9474" width="6.44140625" bestFit="1" customWidth="1"/>
    <col min="9729" max="9729" width="27.21875" bestFit="1" customWidth="1"/>
    <col min="9730" max="9730" width="6.44140625" bestFit="1" customWidth="1"/>
    <col min="9985" max="9985" width="27.21875" bestFit="1" customWidth="1"/>
    <col min="9986" max="9986" width="6.44140625" bestFit="1" customWidth="1"/>
    <col min="10241" max="10241" width="27.21875" bestFit="1" customWidth="1"/>
    <col min="10242" max="10242" width="6.44140625" bestFit="1" customWidth="1"/>
    <col min="10497" max="10497" width="27.21875" bestFit="1" customWidth="1"/>
    <col min="10498" max="10498" width="6.44140625" bestFit="1" customWidth="1"/>
    <col min="10753" max="10753" width="27.21875" bestFit="1" customWidth="1"/>
    <col min="10754" max="10754" width="6.44140625" bestFit="1" customWidth="1"/>
    <col min="11009" max="11009" width="27.21875" bestFit="1" customWidth="1"/>
    <col min="11010" max="11010" width="6.44140625" bestFit="1" customWidth="1"/>
    <col min="11265" max="11265" width="27.21875" bestFit="1" customWidth="1"/>
    <col min="11266" max="11266" width="6.44140625" bestFit="1" customWidth="1"/>
    <col min="11521" max="11521" width="27.21875" bestFit="1" customWidth="1"/>
    <col min="11522" max="11522" width="6.44140625" bestFit="1" customWidth="1"/>
    <col min="11777" max="11777" width="27.21875" bestFit="1" customWidth="1"/>
    <col min="11778" max="11778" width="6.44140625" bestFit="1" customWidth="1"/>
    <col min="12033" max="12033" width="27.21875" bestFit="1" customWidth="1"/>
    <col min="12034" max="12034" width="6.44140625" bestFit="1" customWidth="1"/>
    <col min="12289" max="12289" width="27.21875" bestFit="1" customWidth="1"/>
    <col min="12290" max="12290" width="6.44140625" bestFit="1" customWidth="1"/>
    <col min="12545" max="12545" width="27.21875" bestFit="1" customWidth="1"/>
    <col min="12546" max="12546" width="6.44140625" bestFit="1" customWidth="1"/>
    <col min="12801" max="12801" width="27.21875" bestFit="1" customWidth="1"/>
    <col min="12802" max="12802" width="6.44140625" bestFit="1" customWidth="1"/>
    <col min="13057" max="13057" width="27.21875" bestFit="1" customWidth="1"/>
    <col min="13058" max="13058" width="6.44140625" bestFit="1" customWidth="1"/>
    <col min="13313" max="13313" width="27.21875" bestFit="1" customWidth="1"/>
    <col min="13314" max="13314" width="6.44140625" bestFit="1" customWidth="1"/>
    <col min="13569" max="13569" width="27.21875" bestFit="1" customWidth="1"/>
    <col min="13570" max="13570" width="6.44140625" bestFit="1" customWidth="1"/>
    <col min="13825" max="13825" width="27.21875" bestFit="1" customWidth="1"/>
    <col min="13826" max="13826" width="6.44140625" bestFit="1" customWidth="1"/>
    <col min="14081" max="14081" width="27.21875" bestFit="1" customWidth="1"/>
    <col min="14082" max="14082" width="6.44140625" bestFit="1" customWidth="1"/>
    <col min="14337" max="14337" width="27.21875" bestFit="1" customWidth="1"/>
    <col min="14338" max="14338" width="6.44140625" bestFit="1" customWidth="1"/>
    <col min="14593" max="14593" width="27.21875" bestFit="1" customWidth="1"/>
    <col min="14594" max="14594" width="6.44140625" bestFit="1" customWidth="1"/>
    <col min="14849" max="14849" width="27.21875" bestFit="1" customWidth="1"/>
    <col min="14850" max="14850" width="6.44140625" bestFit="1" customWidth="1"/>
    <col min="15105" max="15105" width="27.21875" bestFit="1" customWidth="1"/>
    <col min="15106" max="15106" width="6.44140625" bestFit="1" customWidth="1"/>
    <col min="15361" max="15361" width="27.21875" bestFit="1" customWidth="1"/>
    <col min="15362" max="15362" width="6.44140625" bestFit="1" customWidth="1"/>
    <col min="15617" max="15617" width="27.21875" bestFit="1" customWidth="1"/>
    <col min="15618" max="15618" width="6.44140625" bestFit="1" customWidth="1"/>
    <col min="15873" max="15873" width="27.21875" bestFit="1" customWidth="1"/>
    <col min="15874" max="15874" width="6.44140625" bestFit="1" customWidth="1"/>
    <col min="16129" max="16129" width="27.21875" bestFit="1" customWidth="1"/>
    <col min="16130" max="16130" width="6.44140625" bestFit="1" customWidth="1"/>
  </cols>
  <sheetData>
    <row r="1" spans="1:3" ht="18.600000000000001" x14ac:dyDescent="0.4">
      <c r="A1" s="1" t="s">
        <v>11</v>
      </c>
      <c r="B1" s="2" t="s">
        <v>0</v>
      </c>
    </row>
    <row r="2" spans="1:3" ht="18.600000000000001" x14ac:dyDescent="0.4">
      <c r="A2" s="5" t="s">
        <v>278</v>
      </c>
      <c r="B2" s="2" t="s">
        <v>1</v>
      </c>
    </row>
    <row r="3" spans="1:3" ht="18.600000000000001" x14ac:dyDescent="0.4">
      <c r="A3" s="5" t="s">
        <v>10</v>
      </c>
      <c r="B3" s="2" t="s">
        <v>1</v>
      </c>
    </row>
    <row r="4" spans="1:3" ht="18.600000000000001" x14ac:dyDescent="0.4">
      <c r="A4" s="5" t="s">
        <v>277</v>
      </c>
      <c r="B4" s="2" t="s">
        <v>2</v>
      </c>
    </row>
    <row r="5" spans="1:3" ht="18.600000000000001" x14ac:dyDescent="0.4">
      <c r="A5" s="8" t="s">
        <v>9</v>
      </c>
      <c r="B5" s="3" t="s">
        <v>3</v>
      </c>
    </row>
    <row r="6" spans="1:3" ht="18.600000000000001" x14ac:dyDescent="0.4">
      <c r="A6" s="5" t="s">
        <v>12</v>
      </c>
      <c r="B6" s="2" t="s">
        <v>4</v>
      </c>
    </row>
    <row r="7" spans="1:3" ht="18.600000000000001" x14ac:dyDescent="0.3">
      <c r="A7" s="4" t="s">
        <v>5</v>
      </c>
      <c r="B7" s="4"/>
    </row>
    <row r="8" spans="1:3" ht="18.600000000000001" x14ac:dyDescent="0.3">
      <c r="A8" s="4" t="s">
        <v>6</v>
      </c>
      <c r="B8" s="4"/>
    </row>
    <row r="9" spans="1:3" x14ac:dyDescent="0.3">
      <c r="A9" s="5" t="s">
        <v>281</v>
      </c>
      <c r="B9" s="5"/>
    </row>
    <row r="10" spans="1:3" x14ac:dyDescent="0.3">
      <c r="A10" s="5" t="s">
        <v>7</v>
      </c>
      <c r="B10" s="6">
        <v>0.8</v>
      </c>
    </row>
    <row r="11" spans="1:3" ht="18.600000000000001" x14ac:dyDescent="0.4">
      <c r="A11" s="7" t="s">
        <v>8</v>
      </c>
      <c r="B11" s="6">
        <v>0.95</v>
      </c>
    </row>
    <row r="12" spans="1:3" x14ac:dyDescent="0.3">
      <c r="C12" s="6"/>
    </row>
  </sheetData>
  <phoneticPr fontId="6"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具名範圍</vt:lpstr>
      </vt:variant>
      <vt:variant>
        <vt:i4>2</vt:i4>
      </vt:variant>
    </vt:vector>
  </HeadingPairs>
  <TitlesOfParts>
    <vt:vector size="9" baseType="lpstr">
      <vt:lpstr>o-Ride E_730</vt:lpstr>
      <vt:lpstr>扭力_730</vt:lpstr>
      <vt:lpstr>出力_730</vt:lpstr>
      <vt:lpstr>o-Ride E_500</vt:lpstr>
      <vt:lpstr>扭力_500</vt:lpstr>
      <vt:lpstr>出力_500</vt:lpstr>
      <vt:lpstr>計算公式</vt:lpstr>
      <vt:lpstr>'o-Ride E_500'!Print_Area</vt:lpstr>
      <vt:lpstr>'o-Ride E_730'!Print_Area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黃致中</dc:creator>
  <cp:lastModifiedBy>jason 黃致中</cp:lastModifiedBy>
  <dcterms:created xsi:type="dcterms:W3CDTF">2025-06-19T09:01:02Z</dcterms:created>
  <dcterms:modified xsi:type="dcterms:W3CDTF">2025-10-07T02:06:45Z</dcterms:modified>
</cp:coreProperties>
</file>